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815"/>
  </bookViews>
  <sheets>
    <sheet name="１．ディレクトリ構成" sheetId="2" r:id="rId1"/>
    <sheet name="２．テーブル定義" sheetId="1" r:id="rId2"/>
    <sheet name="データ" sheetId="3" r:id="rId3"/>
    <sheet name="data.csv" sheetId="4" r:id="rId4"/>
    <sheet name="mySQLコマンド" sheetId="5" r:id="rId5"/>
  </sheets>
  <definedNames>
    <definedName name="_xlnm._FilterDatabase" localSheetId="1" hidden="1">'２．テーブル定義'!$A$4:$D$16</definedName>
    <definedName name="_xlnm._FilterDatabase" localSheetId="3" hidden="1">data.csv!$A$1:$F$38273</definedName>
    <definedName name="AS2DocOpenMode" hidden="1">"AS2DocumentEdit"</definedName>
  </definedNames>
  <calcPr calcId="145621"/>
</workbook>
</file>

<file path=xl/calcChain.xml><?xml version="1.0" encoding="utf-8"?>
<calcChain xmlns="http://schemas.openxmlformats.org/spreadsheetml/2006/main">
  <c r="Q54" i="1" l="1"/>
  <c r="Q53" i="1"/>
  <c r="Q52" i="1"/>
  <c r="Q51" i="1"/>
  <c r="Q50" i="1"/>
  <c r="Q49" i="1"/>
  <c r="Q57" i="1"/>
  <c r="Q56" i="1"/>
  <c r="Q48" i="1"/>
  <c r="Q47" i="1"/>
  <c r="Q46" i="1"/>
  <c r="Q45" i="1"/>
  <c r="Q44" i="1"/>
  <c r="N166" i="3" l="1"/>
  <c r="M166" i="3"/>
  <c r="E166" i="3"/>
  <c r="O166" i="3" s="1"/>
  <c r="E174" i="3"/>
  <c r="D174" i="3"/>
  <c r="O42" i="3" l="1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Q7" i="1"/>
  <c r="N42" i="3" l="1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O174" i="3" l="1"/>
  <c r="O21" i="3"/>
  <c r="N21" i="3"/>
  <c r="M21" i="3"/>
  <c r="O20" i="3"/>
  <c r="N20" i="3"/>
  <c r="M20" i="3"/>
  <c r="O19" i="3"/>
  <c r="N19" i="3"/>
  <c r="M19" i="3"/>
  <c r="O18" i="3"/>
  <c r="N18" i="3"/>
  <c r="M18" i="3"/>
  <c r="O17" i="3"/>
  <c r="N17" i="3"/>
  <c r="M17" i="3"/>
  <c r="O16" i="3"/>
  <c r="N16" i="3"/>
  <c r="M16" i="3"/>
  <c r="O15" i="3"/>
  <c r="N15" i="3"/>
  <c r="M15" i="3"/>
  <c r="O14" i="3"/>
  <c r="N14" i="3"/>
  <c r="M14" i="3"/>
  <c r="O13" i="3"/>
  <c r="N13" i="3"/>
  <c r="M13" i="3"/>
  <c r="N174" i="3"/>
  <c r="M174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8" i="3"/>
  <c r="M158" i="3"/>
  <c r="N157" i="3"/>
  <c r="M157" i="3"/>
  <c r="N156" i="3"/>
  <c r="M156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6" i="3"/>
  <c r="M136" i="3"/>
  <c r="N135" i="3"/>
  <c r="M135" i="3"/>
  <c r="N134" i="3"/>
  <c r="M134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6" i="3"/>
  <c r="M126" i="3"/>
  <c r="N125" i="3"/>
  <c r="M125" i="3"/>
  <c r="N124" i="3"/>
  <c r="M124" i="3"/>
  <c r="N123" i="3"/>
  <c r="M123" i="3"/>
  <c r="N122" i="3"/>
  <c r="M122" i="3"/>
  <c r="N121" i="3"/>
  <c r="M121" i="3"/>
  <c r="N120" i="3"/>
  <c r="M120" i="3"/>
  <c r="N119" i="3"/>
  <c r="M119" i="3"/>
  <c r="N118" i="3"/>
  <c r="M118" i="3"/>
  <c r="N117" i="3"/>
  <c r="M117" i="3"/>
  <c r="N116" i="3"/>
  <c r="M116" i="3"/>
  <c r="N115" i="3"/>
  <c r="M115" i="3"/>
  <c r="N114" i="3"/>
  <c r="M114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5" i="3"/>
  <c r="M105" i="3"/>
  <c r="N104" i="3"/>
  <c r="M104" i="3"/>
  <c r="N103" i="3"/>
  <c r="M103" i="3"/>
  <c r="N102" i="3"/>
  <c r="M102" i="3"/>
  <c r="N101" i="3"/>
  <c r="M101" i="3"/>
  <c r="N100" i="3"/>
  <c r="M100" i="3"/>
  <c r="N99" i="3"/>
  <c r="M99" i="3"/>
  <c r="N98" i="3"/>
  <c r="M98" i="3"/>
  <c r="N97" i="3"/>
  <c r="M97" i="3"/>
  <c r="N96" i="3"/>
  <c r="M96" i="3"/>
  <c r="N95" i="3"/>
  <c r="M95" i="3"/>
  <c r="N94" i="3"/>
  <c r="M94" i="3"/>
  <c r="N93" i="3"/>
  <c r="M93" i="3"/>
  <c r="N92" i="3"/>
  <c r="M92" i="3"/>
  <c r="N91" i="3"/>
  <c r="M91" i="3"/>
  <c r="N90" i="3"/>
  <c r="M90" i="3"/>
  <c r="N89" i="3"/>
  <c r="M89" i="3"/>
  <c r="N88" i="3"/>
  <c r="M88" i="3"/>
  <c r="N87" i="3"/>
  <c r="M87" i="3"/>
  <c r="N86" i="3"/>
  <c r="M86" i="3"/>
  <c r="N85" i="3"/>
  <c r="M85" i="3"/>
  <c r="N84" i="3"/>
  <c r="M84" i="3"/>
  <c r="N83" i="3"/>
  <c r="M83" i="3"/>
  <c r="N82" i="3"/>
  <c r="M82" i="3"/>
  <c r="N81" i="3"/>
  <c r="M81" i="3"/>
  <c r="N80" i="3"/>
  <c r="M80" i="3"/>
  <c r="N79" i="3"/>
  <c r="M79" i="3"/>
  <c r="N78" i="3"/>
  <c r="M78" i="3"/>
  <c r="N77" i="3"/>
  <c r="M77" i="3"/>
  <c r="N76" i="3"/>
  <c r="M76" i="3"/>
  <c r="N75" i="3"/>
  <c r="M75" i="3"/>
  <c r="N74" i="3"/>
  <c r="M74" i="3"/>
  <c r="N73" i="3"/>
  <c r="M73" i="3"/>
  <c r="N72" i="3"/>
  <c r="M72" i="3"/>
  <c r="N71" i="3"/>
  <c r="M71" i="3"/>
  <c r="N70" i="3"/>
  <c r="M70" i="3"/>
  <c r="N69" i="3"/>
  <c r="M69" i="3"/>
  <c r="N68" i="3"/>
  <c r="M68" i="3"/>
  <c r="N67" i="3"/>
  <c r="M67" i="3"/>
  <c r="E165" i="3"/>
  <c r="O165" i="3" s="1"/>
  <c r="E164" i="3"/>
  <c r="O164" i="3" s="1"/>
  <c r="E163" i="3"/>
  <c r="O163" i="3" s="1"/>
  <c r="E162" i="3"/>
  <c r="O162" i="3" s="1"/>
  <c r="E161" i="3"/>
  <c r="O161" i="3" s="1"/>
  <c r="E160" i="3"/>
  <c r="O160" i="3" s="1"/>
  <c r="E159" i="3"/>
  <c r="O159" i="3" s="1"/>
  <c r="E158" i="3"/>
  <c r="O158" i="3" s="1"/>
  <c r="E157" i="3"/>
  <c r="O157" i="3" s="1"/>
  <c r="E156" i="3"/>
  <c r="O156" i="3" s="1"/>
  <c r="E155" i="3"/>
  <c r="O155" i="3" s="1"/>
  <c r="E154" i="3"/>
  <c r="O154" i="3" s="1"/>
  <c r="E153" i="3"/>
  <c r="O153" i="3" s="1"/>
  <c r="E152" i="3"/>
  <c r="O152" i="3" s="1"/>
  <c r="E151" i="3"/>
  <c r="O151" i="3" s="1"/>
  <c r="E150" i="3"/>
  <c r="O150" i="3" s="1"/>
  <c r="E149" i="3"/>
  <c r="O149" i="3" s="1"/>
  <c r="E148" i="3"/>
  <c r="O148" i="3" s="1"/>
  <c r="E147" i="3"/>
  <c r="O147" i="3" s="1"/>
  <c r="E146" i="3"/>
  <c r="O146" i="3" s="1"/>
  <c r="E145" i="3"/>
  <c r="O145" i="3" s="1"/>
  <c r="E144" i="3"/>
  <c r="O144" i="3" s="1"/>
  <c r="E143" i="3"/>
  <c r="O143" i="3" s="1"/>
  <c r="E142" i="3"/>
  <c r="O142" i="3" s="1"/>
  <c r="E141" i="3"/>
  <c r="O141" i="3" s="1"/>
  <c r="E140" i="3"/>
  <c r="O140" i="3" s="1"/>
  <c r="E139" i="3"/>
  <c r="O139" i="3" s="1"/>
  <c r="E138" i="3"/>
  <c r="O138" i="3" s="1"/>
  <c r="E137" i="3"/>
  <c r="O137" i="3" s="1"/>
  <c r="E136" i="3"/>
  <c r="O136" i="3" s="1"/>
  <c r="E135" i="3"/>
  <c r="O135" i="3" s="1"/>
  <c r="E134" i="3"/>
  <c r="O134" i="3" s="1"/>
  <c r="E133" i="3"/>
  <c r="O133" i="3" s="1"/>
  <c r="E132" i="3"/>
  <c r="O132" i="3" s="1"/>
  <c r="E131" i="3"/>
  <c r="O131" i="3" s="1"/>
  <c r="E130" i="3"/>
  <c r="O130" i="3" s="1"/>
  <c r="E129" i="3"/>
  <c r="O129" i="3" s="1"/>
  <c r="E128" i="3"/>
  <c r="O128" i="3" s="1"/>
  <c r="E127" i="3"/>
  <c r="O127" i="3" s="1"/>
  <c r="E126" i="3"/>
  <c r="O126" i="3" s="1"/>
  <c r="E125" i="3"/>
  <c r="O125" i="3" s="1"/>
  <c r="E124" i="3"/>
  <c r="O124" i="3" s="1"/>
  <c r="E123" i="3"/>
  <c r="O123" i="3" s="1"/>
  <c r="E122" i="3"/>
  <c r="O122" i="3" s="1"/>
  <c r="E121" i="3"/>
  <c r="O121" i="3" s="1"/>
  <c r="E120" i="3"/>
  <c r="O120" i="3" s="1"/>
  <c r="E119" i="3"/>
  <c r="O119" i="3" s="1"/>
  <c r="E118" i="3"/>
  <c r="O118" i="3" s="1"/>
  <c r="E117" i="3"/>
  <c r="O117" i="3" s="1"/>
  <c r="E116" i="3"/>
  <c r="O116" i="3" s="1"/>
  <c r="E115" i="3"/>
  <c r="O115" i="3" s="1"/>
  <c r="E114" i="3"/>
  <c r="O114" i="3" s="1"/>
  <c r="E113" i="3"/>
  <c r="O113" i="3" s="1"/>
  <c r="E112" i="3"/>
  <c r="O112" i="3" s="1"/>
  <c r="E111" i="3"/>
  <c r="O111" i="3" s="1"/>
  <c r="E110" i="3"/>
  <c r="O110" i="3" s="1"/>
  <c r="E109" i="3"/>
  <c r="O109" i="3" s="1"/>
  <c r="E108" i="3"/>
  <c r="O108" i="3" s="1"/>
  <c r="E107" i="3"/>
  <c r="O107" i="3" s="1"/>
  <c r="E106" i="3"/>
  <c r="O106" i="3" s="1"/>
  <c r="E105" i="3"/>
  <c r="O105" i="3" s="1"/>
  <c r="E104" i="3"/>
  <c r="O104" i="3" s="1"/>
  <c r="E103" i="3"/>
  <c r="O103" i="3" s="1"/>
  <c r="E102" i="3"/>
  <c r="O102" i="3" s="1"/>
  <c r="E101" i="3"/>
  <c r="O101" i="3" s="1"/>
  <c r="E100" i="3"/>
  <c r="O100" i="3" s="1"/>
  <c r="E99" i="3"/>
  <c r="O99" i="3" s="1"/>
  <c r="E98" i="3"/>
  <c r="O98" i="3" s="1"/>
  <c r="E97" i="3"/>
  <c r="O97" i="3" s="1"/>
  <c r="E96" i="3"/>
  <c r="O96" i="3" s="1"/>
  <c r="E95" i="3"/>
  <c r="O95" i="3" s="1"/>
  <c r="E94" i="3"/>
  <c r="O94" i="3" s="1"/>
  <c r="E93" i="3"/>
  <c r="O93" i="3" s="1"/>
  <c r="E92" i="3"/>
  <c r="O92" i="3" s="1"/>
  <c r="E91" i="3"/>
  <c r="O91" i="3" s="1"/>
  <c r="E90" i="3"/>
  <c r="O90" i="3" s="1"/>
  <c r="E89" i="3"/>
  <c r="O89" i="3" s="1"/>
  <c r="E88" i="3"/>
  <c r="O88" i="3" s="1"/>
  <c r="E87" i="3"/>
  <c r="O87" i="3" s="1"/>
  <c r="E86" i="3"/>
  <c r="O86" i="3" s="1"/>
  <c r="E85" i="3"/>
  <c r="O85" i="3" s="1"/>
  <c r="E84" i="3"/>
  <c r="O84" i="3" s="1"/>
  <c r="E83" i="3"/>
  <c r="O83" i="3" s="1"/>
  <c r="E82" i="3"/>
  <c r="O82" i="3" s="1"/>
  <c r="E81" i="3"/>
  <c r="O81" i="3" s="1"/>
  <c r="E80" i="3"/>
  <c r="O80" i="3" s="1"/>
  <c r="E79" i="3"/>
  <c r="O79" i="3" s="1"/>
  <c r="E78" i="3"/>
  <c r="O78" i="3" s="1"/>
  <c r="E77" i="3"/>
  <c r="O77" i="3" s="1"/>
  <c r="E76" i="3"/>
  <c r="O76" i="3" s="1"/>
  <c r="E75" i="3"/>
  <c r="O75" i="3" s="1"/>
  <c r="E74" i="3"/>
  <c r="O74" i="3" s="1"/>
  <c r="E73" i="3"/>
  <c r="O73" i="3" s="1"/>
  <c r="E72" i="3"/>
  <c r="O72" i="3" s="1"/>
  <c r="E71" i="3"/>
  <c r="O71" i="3" s="1"/>
  <c r="E70" i="3"/>
  <c r="O70" i="3" s="1"/>
  <c r="E69" i="3"/>
  <c r="O69" i="3" s="1"/>
  <c r="E68" i="3"/>
  <c r="O68" i="3" s="1"/>
  <c r="E67" i="3"/>
  <c r="O67" i="3" s="1"/>
  <c r="E66" i="3"/>
  <c r="O66" i="3" s="1"/>
  <c r="E65" i="3"/>
  <c r="E64" i="3"/>
  <c r="O64" i="3" s="1"/>
  <c r="E63" i="3"/>
  <c r="O63" i="3" s="1"/>
  <c r="E62" i="3"/>
  <c r="O62" i="3" s="1"/>
  <c r="N66" i="3"/>
  <c r="M66" i="3"/>
  <c r="O65" i="3"/>
  <c r="N65" i="3"/>
  <c r="M65" i="3"/>
  <c r="N64" i="3"/>
  <c r="M64" i="3"/>
  <c r="N63" i="3"/>
  <c r="M63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M56" i="3"/>
  <c r="M55" i="3"/>
  <c r="M54" i="3"/>
  <c r="M53" i="3"/>
  <c r="M52" i="3"/>
  <c r="M51" i="3"/>
  <c r="M50" i="3"/>
  <c r="M49" i="3"/>
  <c r="N48" i="3"/>
  <c r="M48" i="3"/>
  <c r="Q39" i="1"/>
  <c r="Q20" i="1"/>
  <c r="Q24" i="1" l="1"/>
  <c r="Q23" i="1"/>
  <c r="Q21" i="1"/>
  <c r="Q19" i="1"/>
  <c r="Q18" i="1"/>
  <c r="Q17" i="1"/>
  <c r="N62" i="3"/>
  <c r="M62" i="3"/>
  <c r="O12" i="3" l="1"/>
  <c r="O11" i="3"/>
  <c r="O10" i="3"/>
  <c r="O9" i="3"/>
  <c r="O8" i="3"/>
  <c r="O7" i="3"/>
  <c r="O6" i="3"/>
  <c r="N12" i="3"/>
  <c r="M12" i="3"/>
  <c r="N11" i="3"/>
  <c r="M11" i="3"/>
  <c r="N10" i="3"/>
  <c r="M10" i="3"/>
  <c r="N9" i="3"/>
  <c r="M9" i="3"/>
  <c r="N8" i="3"/>
  <c r="M8" i="3"/>
  <c r="N7" i="3"/>
  <c r="M7" i="3"/>
  <c r="N6" i="3"/>
  <c r="M6" i="3"/>
  <c r="Q40" i="1"/>
  <c r="Q38" i="1"/>
  <c r="Q37" i="1"/>
  <c r="Q31" i="1"/>
  <c r="Q30" i="1"/>
  <c r="Q29" i="1"/>
  <c r="Q28" i="1"/>
  <c r="Q27" i="1"/>
  <c r="Q13" i="1"/>
  <c r="Q12" i="1"/>
  <c r="Q11" i="1"/>
  <c r="Q10" i="1"/>
  <c r="Q9" i="1"/>
  <c r="Q8" i="1"/>
  <c r="Q6" i="1"/>
  <c r="Q5" i="1"/>
  <c r="Q43" i="1" l="1"/>
  <c r="Q42" i="1"/>
  <c r="Q36" i="1"/>
  <c r="Q35" i="1"/>
  <c r="Q34" i="1"/>
  <c r="Q33" i="1"/>
  <c r="Q26" i="1"/>
  <c r="Q25" i="1"/>
  <c r="Q16" i="1" l="1"/>
  <c r="Q15" i="1" l="1"/>
  <c r="Q4" i="1"/>
  <c r="Q3" i="1"/>
</calcChain>
</file>

<file path=xl/sharedStrings.xml><?xml version="1.0" encoding="utf-8"?>
<sst xmlns="http://schemas.openxmlformats.org/spreadsheetml/2006/main" count="1580" uniqueCount="411">
  <si>
    <t>MySQL定義</t>
    <rPh sb="5" eb="7">
      <t>テイギ</t>
    </rPh>
    <phoneticPr fontId="3"/>
  </si>
  <si>
    <t>MySQLコメント定義</t>
    <rPh sb="9" eb="11">
      <t>テイギ</t>
    </rPh>
    <phoneticPr fontId="3"/>
  </si>
  <si>
    <t>＊</t>
    <phoneticPr fontId="3"/>
  </si>
  <si>
    <t>テーブル論理名</t>
    <rPh sb="4" eb="6">
      <t>ロンリ</t>
    </rPh>
    <rPh sb="6" eb="7">
      <t>メイ</t>
    </rPh>
    <phoneticPr fontId="3"/>
  </si>
  <si>
    <t>テーブル物理名</t>
    <rPh sb="4" eb="6">
      <t>ブツリ</t>
    </rPh>
    <rPh sb="6" eb="7">
      <t>メイ</t>
    </rPh>
    <phoneticPr fontId="3"/>
  </si>
  <si>
    <t>No</t>
    <phoneticPr fontId="6"/>
  </si>
  <si>
    <t>論理名称</t>
    <phoneticPr fontId="6"/>
  </si>
  <si>
    <t>物理名称</t>
    <phoneticPr fontId="6"/>
  </si>
  <si>
    <t>データ型</t>
  </si>
  <si>
    <t>桁数</t>
  </si>
  <si>
    <t>初期値</t>
  </si>
  <si>
    <t>PK</t>
  </si>
  <si>
    <t>IDX1</t>
  </si>
  <si>
    <t>IDX2</t>
  </si>
  <si>
    <t>NotNull</t>
    <phoneticPr fontId="6"/>
  </si>
  <si>
    <t>備考</t>
  </si>
  <si>
    <t>○</t>
    <phoneticPr fontId="6"/>
  </si>
  <si>
    <t>VARCHAR(45)</t>
    <phoneticPr fontId="6"/>
  </si>
  <si>
    <t>No</t>
  </si>
  <si>
    <t>制約名</t>
    <rPh sb="0" eb="2">
      <t>セイヤク</t>
    </rPh>
    <phoneticPr fontId="3"/>
  </si>
  <si>
    <t>カラムリスト</t>
  </si>
  <si>
    <t>データ型</t>
    <rPh sb="3" eb="4">
      <t>ガタ</t>
    </rPh>
    <phoneticPr fontId="3"/>
  </si>
  <si>
    <t>主キー</t>
  </si>
  <si>
    <t>ユニーク</t>
  </si>
  <si>
    <t>PRIMARY</t>
  </si>
  <si>
    <t>Yes</t>
  </si>
  <si>
    <t>テーブル定義</t>
    <rPh sb="4" eb="6">
      <t>テイギ</t>
    </rPh>
    <phoneticPr fontId="3"/>
  </si>
  <si>
    <t>WORD</t>
    <phoneticPr fontId="3"/>
  </si>
  <si>
    <t>カテゴリ名</t>
    <rPh sb="4" eb="5">
      <t>メイ</t>
    </rPh>
    <phoneticPr fontId="3"/>
  </si>
  <si>
    <t>COUNT</t>
    <phoneticPr fontId="6"/>
  </si>
  <si>
    <t>件数</t>
    <rPh sb="0" eb="2">
      <t>ケンスウ</t>
    </rPh>
    <phoneticPr fontId="3"/>
  </si>
  <si>
    <t>サイト名</t>
    <rPh sb="3" eb="4">
      <t>メイ</t>
    </rPh>
    <phoneticPr fontId="3"/>
  </si>
  <si>
    <t>SITE_NM</t>
    <phoneticPr fontId="3"/>
  </si>
  <si>
    <t>T_COUNT</t>
    <phoneticPr fontId="3"/>
  </si>
  <si>
    <t>件数テーブル</t>
    <rPh sb="0" eb="2">
      <t>ケンスウ</t>
    </rPh>
    <phoneticPr fontId="3"/>
  </si>
  <si>
    <t>日付</t>
    <rPh sb="0" eb="2">
      <t>ヒヅケ</t>
    </rPh>
    <phoneticPr fontId="3"/>
  </si>
  <si>
    <t>[/var/www/html]</t>
    <phoneticPr fontId="3"/>
  </si>
  <si>
    <t>│</t>
  </si>
  <si>
    <t>.htaccess</t>
  </si>
  <si>
    <t>…すべて禁止</t>
    <rPh sb="4" eb="6">
      <t>キンシ</t>
    </rPh>
    <phoneticPr fontId="3"/>
  </si>
  <si>
    <t>├</t>
    <phoneticPr fontId="3"/>
  </si>
  <si>
    <t>[project]</t>
    <phoneticPr fontId="3"/>
  </si>
  <si>
    <t>&lt;Files ~ "(^\.(htaccess|htpasswd)$|\.html$)"&gt;</t>
  </si>
  <si>
    <t>.htaccess</t>
    <phoneticPr fontId="3"/>
  </si>
  <si>
    <t>deny from all</t>
  </si>
  <si>
    <t>├</t>
    <phoneticPr fontId="3"/>
  </si>
  <si>
    <t>[app]</t>
    <phoneticPr fontId="3"/>
  </si>
  <si>
    <t>&lt;/Files&gt;</t>
  </si>
  <si>
    <t>Options -Indexes</t>
  </si>
  <si>
    <t>order deny,allow</t>
  </si>
  <si>
    <t>├</t>
    <phoneticPr fontId="3"/>
  </si>
  <si>
    <t>[batch]</t>
    <phoneticPr fontId="3"/>
  </si>
  <si>
    <t>.htaccess</t>
    <phoneticPr fontId="3"/>
  </si>
  <si>
    <t>*.sh</t>
    <phoneticPr fontId="3"/>
  </si>
  <si>
    <t>[conf]</t>
    <phoneticPr fontId="3"/>
  </si>
  <si>
    <t>*.conf</t>
    <phoneticPr fontId="3"/>
  </si>
  <si>
    <t>[data]</t>
    <phoneticPr fontId="3"/>
  </si>
  <si>
    <t>[db]</t>
    <phoneticPr fontId="3"/>
  </si>
  <si>
    <t>[doc]</t>
    <phoneticPr fontId="3"/>
  </si>
  <si>
    <t>[output]</t>
    <phoneticPr fontId="3"/>
  </si>
  <si>
    <t>[yyyymmdd].html</t>
    <phoneticPr fontId="3"/>
  </si>
  <si>
    <t>data.csv</t>
    <phoneticPr fontId="3"/>
  </si>
  <si>
    <t>.htpasswd</t>
  </si>
  <si>
    <t>func_webinfo.php</t>
  </si>
  <si>
    <t>get_wordlist.php</t>
  </si>
  <si>
    <t>.htaccess.basic</t>
  </si>
  <si>
    <t>sitelist.txt</t>
  </si>
  <si>
    <t>view_count_by_word.php</t>
  </si>
  <si>
    <t>view_count_list.php</t>
  </si>
  <si>
    <t>view_list.php</t>
  </si>
  <si>
    <t>wordlist.txt</t>
  </si>
  <si>
    <t>doc.xlsx</t>
    <phoneticPr fontId="3"/>
  </si>
  <si>
    <t>[controller]</t>
    <phoneticPr fontId="3"/>
  </si>
  <si>
    <t>[view]</t>
    <phoneticPr fontId="3"/>
  </si>
  <si>
    <t>CountList.tmpl</t>
    <phoneticPr fontId="3"/>
  </si>
  <si>
    <t>CountListController.php</t>
    <phoneticPr fontId="3"/>
  </si>
  <si>
    <t>[dao]</t>
    <phoneticPr fontId="3"/>
  </si>
  <si>
    <t>サイトマスタ</t>
  </si>
  <si>
    <t>サイトマスタ</t>
    <phoneticPr fontId="3"/>
  </si>
  <si>
    <t>M_SITE</t>
  </si>
  <si>
    <t>M_SITE</t>
    <phoneticPr fontId="3"/>
  </si>
  <si>
    <t>ワードマスタ</t>
    <phoneticPr fontId="3"/>
  </si>
  <si>
    <t>M_WORD</t>
    <phoneticPr fontId="3"/>
  </si>
  <si>
    <t>ID</t>
    <phoneticPr fontId="3"/>
  </si>
  <si>
    <t>ID</t>
    <phoneticPr fontId="3"/>
  </si>
  <si>
    <t>URL</t>
    <phoneticPr fontId="3"/>
  </si>
  <si>
    <t>メソッド</t>
    <phoneticPr fontId="3"/>
  </si>
  <si>
    <t>VARCHAR(255)</t>
    <phoneticPr fontId="6"/>
  </si>
  <si>
    <t>VARCHAR(10)</t>
    <phoneticPr fontId="6"/>
  </si>
  <si>
    <t>METHOD</t>
    <phoneticPr fontId="3"/>
  </si>
  <si>
    <t>件数置換文字列</t>
    <rPh sb="0" eb="2">
      <t>ケンスウ</t>
    </rPh>
    <rPh sb="2" eb="4">
      <t>チカン</t>
    </rPh>
    <rPh sb="4" eb="7">
      <t>モジレツ</t>
    </rPh>
    <phoneticPr fontId="3"/>
  </si>
  <si>
    <t>CNT_REPLACE_STRING</t>
    <phoneticPr fontId="3"/>
  </si>
  <si>
    <t>タイプ</t>
    <phoneticPr fontId="3"/>
  </si>
  <si>
    <t>TYPE</t>
    <phoneticPr fontId="6"/>
  </si>
  <si>
    <t>VARCHAR(20)</t>
    <phoneticPr fontId="6"/>
  </si>
  <si>
    <t>POSTワード</t>
    <phoneticPr fontId="3"/>
  </si>
  <si>
    <t>POST_WORD</t>
    <phoneticPr fontId="6"/>
  </si>
  <si>
    <t>削除フラグ</t>
    <rPh sb="0" eb="2">
      <t>サクジョ</t>
    </rPh>
    <phoneticPr fontId="3"/>
  </si>
  <si>
    <t>DELETE_FLG</t>
    <phoneticPr fontId="6"/>
  </si>
  <si>
    <t>BOOLEAN</t>
    <phoneticPr fontId="6"/>
  </si>
  <si>
    <t>WORD</t>
    <phoneticPr fontId="3"/>
  </si>
  <si>
    <t>INT(3)</t>
    <phoneticPr fontId="6"/>
  </si>
  <si>
    <t>INT(4)</t>
    <phoneticPr fontId="6"/>
  </si>
  <si>
    <t>タグ</t>
    <phoneticPr fontId="3"/>
  </si>
  <si>
    <t>リファクタリング後</t>
    <rPh sb="8" eb="9">
      <t>ゴ</t>
    </rPh>
    <phoneticPr fontId="3"/>
  </si>
  <si>
    <t>TAGS</t>
    <phoneticPr fontId="3"/>
  </si>
  <si>
    <t>DELETE文</t>
    <rPh sb="6" eb="7">
      <t>ブン</t>
    </rPh>
    <phoneticPr fontId="3"/>
  </si>
  <si>
    <t>INSERT文</t>
    <rPh sb="6" eb="7">
      <t>ブン</t>
    </rPh>
    <phoneticPr fontId="3"/>
  </si>
  <si>
    <t>);</t>
    <phoneticPr fontId="3"/>
  </si>
  <si>
    <t>M_SITE</t>
    <phoneticPr fontId="3"/>
  </si>
  <si>
    <t>MSiteDao.php</t>
    <phoneticPr fontId="3"/>
  </si>
  <si>
    <t>M_WORD</t>
    <phoneticPr fontId="3"/>
  </si>
  <si>
    <t>Java</t>
  </si>
  <si>
    <t>カテゴリマスタ</t>
    <phoneticPr fontId="3"/>
  </si>
  <si>
    <t>M_CATEGORY</t>
    <phoneticPr fontId="3"/>
  </si>
  <si>
    <t>CATEGORY_NM</t>
    <phoneticPr fontId="3"/>
  </si>
  <si>
    <t>カテゴリID</t>
    <phoneticPr fontId="3"/>
  </si>
  <si>
    <t>CATEGORY_ID</t>
    <phoneticPr fontId="3"/>
  </si>
  <si>
    <t>INT(2)</t>
    <phoneticPr fontId="6"/>
  </si>
  <si>
    <t>ワード</t>
    <phoneticPr fontId="3"/>
  </si>
  <si>
    <t>ワードID</t>
    <phoneticPr fontId="3"/>
  </si>
  <si>
    <t>INT(4)</t>
    <phoneticPr fontId="6"/>
  </si>
  <si>
    <t>サイトID</t>
    <phoneticPr fontId="3"/>
  </si>
  <si>
    <t>SITE_ID</t>
    <phoneticPr fontId="3"/>
  </si>
  <si>
    <t>T_COUNT</t>
  </si>
  <si>
    <t>DATE</t>
    <phoneticPr fontId="3"/>
  </si>
  <si>
    <t>WORD_ID</t>
    <phoneticPr fontId="3"/>
  </si>
  <si>
    <t>DATE,WORD_ID,SITE_ID</t>
    <phoneticPr fontId="3"/>
  </si>
  <si>
    <t>INT(8)</t>
    <phoneticPr fontId="6"/>
  </si>
  <si>
    <t>DATE</t>
    <phoneticPr fontId="3"/>
  </si>
  <si>
    <t>M_CATEGORY</t>
    <phoneticPr fontId="3"/>
  </si>
  <si>
    <t>HTML</t>
  </si>
  <si>
    <t>web</t>
  </si>
  <si>
    <t>HTML5</t>
  </si>
  <si>
    <t>CSS</t>
  </si>
  <si>
    <t>CSS3</t>
  </si>
  <si>
    <t>PHP</t>
  </si>
  <si>
    <t>Javascript</t>
  </si>
  <si>
    <t>Ruby</t>
  </si>
  <si>
    <t>Python</t>
  </si>
  <si>
    <t>C</t>
  </si>
  <si>
    <t>C#</t>
  </si>
  <si>
    <t>MicroSoft</t>
  </si>
  <si>
    <t>Go</t>
  </si>
  <si>
    <t>Google</t>
  </si>
  <si>
    <t>Swift</t>
  </si>
  <si>
    <t>iOS</t>
  </si>
  <si>
    <t>Objective-C</t>
  </si>
  <si>
    <t>Scala</t>
  </si>
  <si>
    <t>関数型|Java</t>
  </si>
  <si>
    <t>COBOL</t>
  </si>
  <si>
    <t>VB</t>
  </si>
  <si>
    <t>VisualBasic</t>
  </si>
  <si>
    <t>COMPASS</t>
  </si>
  <si>
    <t>SASS</t>
  </si>
  <si>
    <t>VBA</t>
  </si>
  <si>
    <t>Struts</t>
  </si>
  <si>
    <t>Seasar2</t>
  </si>
  <si>
    <t>Spring</t>
  </si>
  <si>
    <t>Hibernate</t>
  </si>
  <si>
    <t>Java|O/R Mapper</t>
  </si>
  <si>
    <t>MyBatis</t>
  </si>
  <si>
    <t>CakePHP</t>
  </si>
  <si>
    <t>Symfony</t>
  </si>
  <si>
    <t>CodeIgniter</t>
  </si>
  <si>
    <t>Laravel</t>
  </si>
  <si>
    <t>yii</t>
  </si>
  <si>
    <t>Phalcon</t>
  </si>
  <si>
    <t>Rails</t>
  </si>
  <si>
    <t>Ruby On Rails</t>
  </si>
  <si>
    <t>Django</t>
  </si>
  <si>
    <t>jQuery</t>
  </si>
  <si>
    <t>web|Javascript</t>
  </si>
  <si>
    <t>Unity</t>
  </si>
  <si>
    <t>Game</t>
  </si>
  <si>
    <t>Node.js</t>
  </si>
  <si>
    <t>AngularJs</t>
  </si>
  <si>
    <t>Sencha</t>
  </si>
  <si>
    <t>ExtJs</t>
  </si>
  <si>
    <t>.NETFramework</t>
  </si>
  <si>
    <t>.NET</t>
  </si>
  <si>
    <t>ASP.NET</t>
  </si>
  <si>
    <t>web|MicroSoft</t>
  </si>
  <si>
    <t>MySQL</t>
  </si>
  <si>
    <t>OSS|Oracle</t>
  </si>
  <si>
    <t>MariaDB</t>
  </si>
  <si>
    <t>OSS</t>
  </si>
  <si>
    <t>Postgres</t>
  </si>
  <si>
    <t>PostgreSQL</t>
  </si>
  <si>
    <t>Oracle</t>
  </si>
  <si>
    <t>SQL Server</t>
  </si>
  <si>
    <t>SQLServer</t>
  </si>
  <si>
    <t>DB2</t>
  </si>
  <si>
    <t>IBM</t>
  </si>
  <si>
    <t>mongoDB</t>
  </si>
  <si>
    <t>Linux</t>
  </si>
  <si>
    <t>CentOS</t>
  </si>
  <si>
    <t>Windows</t>
  </si>
  <si>
    <t>Apple</t>
  </si>
  <si>
    <t>Android</t>
  </si>
  <si>
    <t>Apache</t>
  </si>
  <si>
    <t>WebServer|OSS</t>
  </si>
  <si>
    <t>nginx</t>
  </si>
  <si>
    <t>Tomcat</t>
  </si>
  <si>
    <t>WebServer|OSS|Java</t>
  </si>
  <si>
    <t>JBoss</t>
  </si>
  <si>
    <t>OSS|Java</t>
  </si>
  <si>
    <t>Weblogic</t>
  </si>
  <si>
    <t>WebServer|Oracle</t>
  </si>
  <si>
    <t>WebSphere</t>
  </si>
  <si>
    <t>WebServer|IBM</t>
  </si>
  <si>
    <t>Puppet</t>
  </si>
  <si>
    <t>Chef</t>
  </si>
  <si>
    <t>Jenkins</t>
  </si>
  <si>
    <t>Redmine</t>
  </si>
  <si>
    <t>Git</t>
  </si>
  <si>
    <t>JP1</t>
  </si>
  <si>
    <t>Hitachi</t>
  </si>
  <si>
    <t>SystemWalker</t>
  </si>
  <si>
    <t>Fujitsu</t>
  </si>
  <si>
    <t>Vagrant</t>
  </si>
  <si>
    <t>Docker</t>
  </si>
  <si>
    <t>AWS</t>
  </si>
  <si>
    <t>Amazon</t>
  </si>
  <si>
    <t>AmazonWebService</t>
  </si>
  <si>
    <t>Google Cloud Platform</t>
  </si>
  <si>
    <t>Azure</t>
  </si>
  <si>
    <t>Facebook</t>
  </si>
  <si>
    <t>SNS</t>
  </si>
  <si>
    <t>Twitter</t>
  </si>
  <si>
    <t>Instagram</t>
  </si>
  <si>
    <t>Google Apps</t>
  </si>
  <si>
    <t>Google|web</t>
  </si>
  <si>
    <t>Salesforce</t>
  </si>
  <si>
    <t>ITIL</t>
  </si>
  <si>
    <t>REST</t>
  </si>
  <si>
    <t>LAMP</t>
  </si>
  <si>
    <t>ColdFusion</t>
  </si>
  <si>
    <t>OS.js</t>
  </si>
  <si>
    <t>oss</t>
  </si>
  <si>
    <t>kintone</t>
  </si>
  <si>
    <t>cybose</t>
  </si>
  <si>
    <t>ec-cube</t>
  </si>
  <si>
    <t>Kotlin</t>
  </si>
  <si>
    <t>JetBrains</t>
  </si>
  <si>
    <t>haskell</t>
  </si>
  <si>
    <t>関数型</t>
  </si>
  <si>
    <t>R</t>
  </si>
  <si>
    <t>R言語</t>
  </si>
  <si>
    <t>go言語</t>
  </si>
  <si>
    <t>C言語</t>
  </si>
  <si>
    <t>FuelPHP</t>
  </si>
  <si>
    <t>bootstrap</t>
  </si>
  <si>
    <t>Hadoop</t>
  </si>
  <si>
    <t>memcached</t>
  </si>
  <si>
    <t>Redis</t>
  </si>
  <si>
    <t>Zabbix</t>
  </si>
  <si>
    <t>Nagios</t>
  </si>
  <si>
    <t>Fluentd</t>
  </si>
  <si>
    <t>capistrano</t>
  </si>
  <si>
    <t>Language</t>
  </si>
  <si>
    <t>Framework</t>
  </si>
  <si>
    <t>Database</t>
  </si>
  <si>
    <t>OS</t>
  </si>
  <si>
    <t>Infra</t>
  </si>
  <si>
    <t>Tool</t>
  </si>
  <si>
    <t>Could</t>
  </si>
  <si>
    <t>WebService</t>
  </si>
  <si>
    <t>Others</t>
  </si>
  <si>
    <t>int</t>
    <phoneticPr fontId="6"/>
  </si>
  <si>
    <t>Framework</t>
    <phoneticPr fontId="3"/>
  </si>
  <si>
    <t>Others</t>
    <phoneticPr fontId="3"/>
  </si>
  <si>
    <t>T_COUNT</t>
    <phoneticPr fontId="3"/>
  </si>
  <si>
    <t>en-japan</t>
  </si>
  <si>
    <t>GET</t>
  </si>
  <si>
    <t>hit</t>
  </si>
  <si>
    <t>\&lt;em\&gt;[0-9]*\&lt;\/em\&gt;</t>
  </si>
  <si>
    <t>https://employment.en-japan.com/search/search_list/?keywordtext=[word]</t>
  </si>
  <si>
    <t>rikunabi</t>
  </si>
  <si>
    <t>POST</t>
  </si>
  <si>
    <t>keyword</t>
  </si>
  <si>
    <t>\&lt;span class=\"hit_number\"\&gt;.*?\&lt;\/span\&gt;</t>
  </si>
  <si>
    <t>http://next.rikunabi.com/rnc/docs/cp_s00890.jsp?f=cp_s00010&amp;__m=1</t>
  </si>
  <si>
    <t>mynavi</t>
  </si>
  <si>
    <t>sr_free_search_keyword</t>
  </si>
  <si>
    <t>\&lt;span\&gt;[0-9]*\&lt;</t>
  </si>
  <si>
    <t>http://tenshoku.mynavi.jp/jobsearch/index.cfm?fuseaction=mrjh_listSearchresults_form&amp;jobsearch_flg=16&amp;search_flg=20</t>
  </si>
  <si>
    <t>type</t>
  </si>
  <si>
    <t>\&lt;span class=\"num\"\&gt;[0-9]*\&lt;\/span\&gt;</t>
  </si>
  <si>
    <t>http://type.jp/job/search_company_name.do?pathway=5&amp;keyword=[word]</t>
  </si>
  <si>
    <t>qiita</t>
  </si>
  <si>
    <t>\&lt;span class=\"badge\"\&gt;[0-9]*\&lt;\/span\&gt;</t>
  </si>
  <si>
    <t>https://qiita.com/search?q=[word]</t>
  </si>
  <si>
    <t>partiallyMatchedTag_stats.*投稿</t>
  </si>
  <si>
    <t>partiallyMatchedTag_divider.*フォロワー</t>
  </si>
  <si>
    <t>GitHub</t>
  </si>
  <si>
    <t>found.*repository</t>
  </si>
  <si>
    <t>https://github.com/search?utf8=%E2%9C%93&amp;q=[word]</t>
  </si>
  <si>
    <t>JobStreet(My)</t>
  </si>
  <si>
    <t>\&lt;span id=\"search_desc\"\&gt;\&lt;b\&gt;.*\&lt;\/b\&gt;</t>
  </si>
  <si>
    <t>http://www.jobstreet.com.my/en/job-search/job-vacancy.php?key=[word]</t>
  </si>
  <si>
    <t>JobStreet(Sg)</t>
  </si>
  <si>
    <t>http://www.jobstreet.com.sg/en/job-search/job-vacancy.php?key=[word]</t>
  </si>
  <si>
    <t>JobStreet(ph)</t>
  </si>
  <si>
    <t>http://www.jobstreet.com.ph/en/job-search/job-vacancy.php?key=[word]</t>
  </si>
  <si>
    <t>JobStreet(id)</t>
  </si>
  <si>
    <t>http://www.jobstreet.co.id/en/job-search/job-vacancy.php?key=[word]</t>
  </si>
  <si>
    <t>JobStreet(vn)</t>
  </si>
  <si>
    <t>http://www.jobstreet.vn/en/job-search/job-vacancy.php?key=[word]</t>
  </si>
  <si>
    <t>stackoverflow</t>
  </si>
  <si>
    <t>\&lt;div class=\"summarycount al\"\&gt;.*\&lt;\/div\&gt;</t>
  </si>
  <si>
    <t>http://stackoverflow.com/questions/tagged/[word]</t>
  </si>
  <si>
    <t>stackoverflow(jp)</t>
  </si>
  <si>
    <t>http://ja.stackoverflow.com/questions/tagged/[word]</t>
  </si>
  <si>
    <t>taratail</t>
  </si>
  <si>
    <t>\&lt;span\&gt;[0-9]*件\&lt;\/span\&gt;</t>
  </si>
  <si>
    <t>https://teratail.com/questions/search?q=[word]&amp;search_type=and</t>
  </si>
  <si>
    <t>date</t>
  </si>
  <si>
    <t>ワード</t>
    <phoneticPr fontId="3"/>
  </si>
  <si>
    <t>サイト名</t>
    <rPh sb="3" eb="4">
      <t>メイ</t>
    </rPh>
    <phoneticPr fontId="3"/>
  </si>
  <si>
    <t>HTML</t>
    <phoneticPr fontId="3"/>
  </si>
  <si>
    <t>mynavi</t>
    <phoneticPr fontId="3"/>
  </si>
  <si>
    <t>qiita(post)</t>
    <phoneticPr fontId="3"/>
  </si>
  <si>
    <t>qiita(follower)</t>
    <phoneticPr fontId="3"/>
  </si>
  <si>
    <t>GitHub</t>
    <phoneticPr fontId="3"/>
  </si>
  <si>
    <t>word_id</t>
    <phoneticPr fontId="3"/>
  </si>
  <si>
    <t>site_id</t>
    <phoneticPr fontId="3"/>
  </si>
  <si>
    <t>word</t>
    <phoneticPr fontId="3"/>
  </si>
  <si>
    <t>site</t>
    <phoneticPr fontId="3"/>
  </si>
  <si>
    <t>count</t>
    <phoneticPr fontId="3"/>
  </si>
  <si>
    <t>post</t>
    <phoneticPr fontId="3"/>
  </si>
  <si>
    <t>follower</t>
    <phoneticPr fontId="3"/>
  </si>
  <si>
    <t>\\&lt;em\\&gt;[0-9]*\\&lt;\\/em\\&gt;</t>
  </si>
  <si>
    <t>\\&lt;span\&gt;[0-9]*\\&lt;</t>
  </si>
  <si>
    <t>\\&lt;span\\&gt;[0-9]*件\\&lt;\\/span\\&gt;</t>
  </si>
  <si>
    <t>\\&lt;span class=\"hit_number\"\\&gt;.*?\\&lt;\\/span\\&gt;</t>
  </si>
  <si>
    <t>VARCHAR(50)</t>
    <phoneticPr fontId="6"/>
  </si>
  <si>
    <t>\\&lt;span class=\"num\"\\&gt;[0-9]*\\&lt;\\/span\\&gt;</t>
  </si>
  <si>
    <t>\\&lt;span class=\"badge\"\\&gt;[0-9]*\\&lt;\\/span\\&gt;</t>
  </si>
  <si>
    <t>id=\"search_desc\"\\&gt;\\&lt;b\&gt;.*\\&lt;\\/b\\&gt;</t>
  </si>
  <si>
    <t>\\&lt;div class=\"summarycount al\"\\&gt;.*\\&lt;\\/div\\&gt;</t>
  </si>
  <si>
    <r>
      <t>qiit</t>
    </r>
    <r>
      <rPr>
        <sz val="11"/>
        <rFont val="ＭＳ ゴシック"/>
        <family val="3"/>
        <charset val="128"/>
      </rPr>
      <t>a</t>
    </r>
    <r>
      <rPr>
        <sz val="11"/>
        <color rgb="FFFF0000"/>
        <rFont val="ＭＳ ゴシック"/>
        <family val="3"/>
        <charset val="128"/>
      </rPr>
      <t>(post)</t>
    </r>
    <phoneticPr fontId="3"/>
  </si>
  <si>
    <r>
      <t>qiit</t>
    </r>
    <r>
      <rPr>
        <sz val="11"/>
        <rFont val="ＭＳ ゴシック"/>
        <family val="3"/>
        <charset val="128"/>
      </rPr>
      <t>a</t>
    </r>
    <r>
      <rPr>
        <sz val="11"/>
        <color rgb="FFFF0000"/>
        <rFont val="ＭＳ ゴシック"/>
        <family val="3"/>
        <charset val="128"/>
      </rPr>
      <t>(follower)</t>
    </r>
    <phoneticPr fontId="3"/>
  </si>
  <si>
    <t>没→</t>
    <rPh sb="0" eb="1">
      <t>ボツ</t>
    </rPh>
    <phoneticPr fontId="3"/>
  </si>
  <si>
    <t>init.php</t>
    <phoneticPr fontId="3"/>
  </si>
  <si>
    <t>index.php</t>
    <phoneticPr fontId="3"/>
  </si>
  <si>
    <t>[helper]</t>
    <phoneticPr fontId="3"/>
  </si>
  <si>
    <t>SITE_SNM</t>
  </si>
  <si>
    <t>SITE_SNM</t>
    <phoneticPr fontId="3"/>
  </si>
  <si>
    <t>サイト略称</t>
    <rPh sb="3" eb="5">
      <t>リャクショウ</t>
    </rPh>
    <phoneticPr fontId="3"/>
  </si>
  <si>
    <t>VARCHAR(10)</t>
  </si>
  <si>
    <t>VARCHAR(10)</t>
    <phoneticPr fontId="6"/>
  </si>
  <si>
    <t>rikunabi</t>
    <phoneticPr fontId="3"/>
  </si>
  <si>
    <t>JS(My)</t>
    <phoneticPr fontId="3"/>
  </si>
  <si>
    <t>JS(Sg)</t>
    <phoneticPr fontId="3"/>
  </si>
  <si>
    <t>JSt(ph)</t>
    <phoneticPr fontId="3"/>
  </si>
  <si>
    <t>JS(id)</t>
    <phoneticPr fontId="3"/>
  </si>
  <si>
    <t>JS(vn)</t>
    <phoneticPr fontId="3"/>
  </si>
  <si>
    <t>stack</t>
    <phoneticPr fontId="3"/>
  </si>
  <si>
    <r>
      <t>qiit</t>
    </r>
    <r>
      <rPr>
        <sz val="11"/>
        <rFont val="ＭＳ ゴシック"/>
        <family val="3"/>
        <charset val="128"/>
      </rPr>
      <t>a</t>
    </r>
    <r>
      <rPr>
        <sz val="11"/>
        <color rgb="FFFF0000"/>
        <rFont val="ＭＳ ゴシック"/>
        <family val="3"/>
        <charset val="128"/>
      </rPr>
      <t>(f)</t>
    </r>
    <phoneticPr fontId="3"/>
  </si>
  <si>
    <r>
      <t>qiit</t>
    </r>
    <r>
      <rPr>
        <sz val="11"/>
        <rFont val="ＭＳ ゴシック"/>
        <family val="3"/>
        <charset val="128"/>
      </rPr>
      <t>a</t>
    </r>
    <r>
      <rPr>
        <sz val="11"/>
        <color rgb="FFFF0000"/>
        <rFont val="ＭＳ ゴシック"/>
        <family val="3"/>
        <charset val="128"/>
      </rPr>
      <t>(p)</t>
    </r>
    <phoneticPr fontId="3"/>
  </si>
  <si>
    <t>en-japan</t>
    <phoneticPr fontId="3"/>
  </si>
  <si>
    <t>stack(j)</t>
    <phoneticPr fontId="3"/>
  </si>
  <si>
    <t>keyword</t>
    <phoneticPr fontId="3"/>
  </si>
  <si>
    <t>1:情報 2:求人</t>
    <rPh sb="2" eb="4">
      <t>ジョウホウ</t>
    </rPh>
    <rPh sb="7" eb="9">
      <t>キュウジン</t>
    </rPh>
    <phoneticPr fontId="3"/>
  </si>
  <si>
    <t>INT(3)</t>
    <phoneticPr fontId="6"/>
  </si>
  <si>
    <t>INT(1)</t>
  </si>
  <si>
    <t>INT(1)</t>
    <phoneticPr fontId="6"/>
  </si>
  <si>
    <t>TYPE</t>
  </si>
  <si>
    <t>HTML</t>
    <phoneticPr fontId="3"/>
  </si>
  <si>
    <t>en-japan</t>
    <phoneticPr fontId="3"/>
  </si>
  <si>
    <t>rikunabi</t>
    <phoneticPr fontId="3"/>
  </si>
  <si>
    <t>type</t>
    <phoneticPr fontId="3"/>
  </si>
  <si>
    <t>qiita</t>
    <phoneticPr fontId="3"/>
  </si>
  <si>
    <t>HTML</t>
    <phoneticPr fontId="3"/>
  </si>
  <si>
    <t>C++</t>
    <phoneticPr fontId="3"/>
  </si>
  <si>
    <t>mysql -u [user] -p[password] [database name] &lt; hoge.sql &gt;out.txt</t>
    <phoneticPr fontId="3"/>
  </si>
  <si>
    <t>mysql -u root -p root spcs_db &lt; /var/www/html/SPCS/sql/insert_0114-0205.sql</t>
    <phoneticPr fontId="3"/>
  </si>
  <si>
    <t>月別件数テーブル</t>
    <rPh sb="0" eb="2">
      <t>ツキベツ</t>
    </rPh>
    <rPh sb="2" eb="4">
      <t>ケンスウ</t>
    </rPh>
    <phoneticPr fontId="3"/>
  </si>
  <si>
    <t>T_MONTHLY_COUNT</t>
  </si>
  <si>
    <t>T_MONTHLY_COUNT</t>
    <phoneticPr fontId="3"/>
  </si>
  <si>
    <t>INT(6)</t>
    <phoneticPr fontId="6"/>
  </si>
  <si>
    <t>YYYYMM</t>
    <phoneticPr fontId="3"/>
  </si>
  <si>
    <t>YYYYMM,WORD_ID,SITE_ID</t>
    <phoneticPr fontId="3"/>
  </si>
  <si>
    <t>平均件数</t>
    <rPh sb="0" eb="2">
      <t>ヘイキン</t>
    </rPh>
    <rPh sb="2" eb="4">
      <t>ケンスウ</t>
    </rPh>
    <phoneticPr fontId="3"/>
  </si>
  <si>
    <t>最大件数</t>
    <rPh sb="0" eb="2">
      <t>サイダイ</t>
    </rPh>
    <rPh sb="2" eb="4">
      <t>ケンスウ</t>
    </rPh>
    <phoneticPr fontId="3"/>
  </si>
  <si>
    <t>最少件数</t>
    <rPh sb="0" eb="2">
      <t>サイショウ</t>
    </rPh>
    <rPh sb="2" eb="4">
      <t>ケンスウ</t>
    </rPh>
    <phoneticPr fontId="3"/>
  </si>
  <si>
    <t>MIN_COUNT</t>
    <phoneticPr fontId="6"/>
  </si>
  <si>
    <t>MAX_COUNT</t>
    <phoneticPr fontId="6"/>
  </si>
  <si>
    <t>AVG_COUNT</t>
    <phoneticPr fontId="6"/>
  </si>
  <si>
    <t>TOTAL_COUNT</t>
    <phoneticPr fontId="6"/>
  </si>
  <si>
    <t>合計件数</t>
    <rPh sb="0" eb="2">
      <t>ゴウケイ</t>
    </rPh>
    <rPh sb="2" eb="4">
      <t>ケンスウ</t>
    </rPh>
    <phoneticPr fontId="3"/>
  </si>
  <si>
    <t>DAYS</t>
    <phoneticPr fontId="6"/>
  </si>
  <si>
    <t>日数</t>
    <rPh sb="0" eb="2">
      <t>ニッスウ</t>
    </rPh>
    <phoneticPr fontId="3"/>
  </si>
  <si>
    <t>有効日数</t>
    <rPh sb="0" eb="2">
      <t>ユウコウ</t>
    </rPh>
    <rPh sb="2" eb="4">
      <t>ニッスウ</t>
    </rPh>
    <phoneticPr fontId="3"/>
  </si>
  <si>
    <t>COUNT_DAYS</t>
    <phoneticPr fontId="6"/>
  </si>
  <si>
    <t>AbstractDao.php</t>
    <phoneticPr fontId="3"/>
  </si>
  <si>
    <t>CommonDao.php</t>
    <phoneticPr fontId="3"/>
  </si>
  <si>
    <t>DbConnection.php</t>
    <phoneticPr fontId="3"/>
  </si>
  <si>
    <t>dbConnectSample.php</t>
    <phoneticPr fontId="3"/>
  </si>
  <si>
    <t>TMonthlyCountDao.php</t>
    <phoneticPr fontId="3"/>
  </si>
  <si>
    <t>TCountDao.php</t>
    <phoneticPr fontId="3"/>
  </si>
  <si>
    <t>CrawlerHelper.php</t>
  </si>
  <si>
    <t>ViewHelper.php</t>
    <phoneticPr fontId="3"/>
  </si>
  <si>
    <t>view_word.php</t>
    <phoneticPr fontId="3"/>
  </si>
  <si>
    <t>CountList2.tmpl</t>
    <phoneticPr fontId="3"/>
  </si>
  <si>
    <t>[SCPS]</t>
    <phoneticPr fontId="3"/>
  </si>
  <si>
    <t>doc.xlsm</t>
    <phoneticPr fontId="3"/>
  </si>
  <si>
    <t>…word mounthly count list</t>
    <phoneticPr fontId="3"/>
  </si>
  <si>
    <t>…word daily count list</t>
    <phoneticPr fontId="3"/>
  </si>
  <si>
    <t>…リアルタイム表示</t>
    <rPh sb="7" eb="9">
      <t>ヒョウジ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</si>
</sst>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39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8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8"/>
      <color rgb="FF0070C0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name val="明朝"/>
      <family val="1"/>
      <charset val="128"/>
    </font>
    <font>
      <sz val="10"/>
      <color rgb="FF000000"/>
      <name val="Arial"/>
      <family val="2"/>
    </font>
    <font>
      <sz val="11"/>
      <color theme="1"/>
      <name val="ＭＳ Ｐゴシック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8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i/>
      <sz val="11"/>
      <color theme="1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sz val="11"/>
      <color rgb="FF00B0F0"/>
      <name val="ＭＳ ゴシック"/>
      <family val="3"/>
      <charset val="128"/>
    </font>
    <font>
      <sz val="8"/>
      <color rgb="FFFF0000"/>
      <name val="ＭＳ 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14"/>
      </right>
      <top style="thin">
        <color indexed="14"/>
      </top>
      <bottom style="thin">
        <color indexed="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5">
    <xf numFmtId="0" fontId="0" fillId="0" borderId="0">
      <alignment vertical="center"/>
    </xf>
    <xf numFmtId="0" fontId="5" fillId="0" borderId="0"/>
    <xf numFmtId="0" fontId="5" fillId="3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4" borderId="3" applyNumberFormat="0" applyAlignment="0" applyProtection="0">
      <alignment vertical="center"/>
    </xf>
    <xf numFmtId="0" fontId="5" fillId="3" borderId="2" applyNumberFormat="0" applyFont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3" fillId="0" borderId="5" applyNumberFormat="0" applyAlignment="0" applyProtection="0">
      <alignment horizontal="left" vertical="center"/>
    </xf>
    <xf numFmtId="0" fontId="13" fillId="0" borderId="6">
      <alignment horizontal="left" vertical="center"/>
    </xf>
    <xf numFmtId="0" fontId="14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17" fillId="18" borderId="0" applyNumberFormat="0" applyBorder="0" applyAlignment="0" applyProtection="0">
      <alignment vertical="center"/>
    </xf>
    <xf numFmtId="0" fontId="18" fillId="9" borderId="7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6" fontId="20" fillId="0" borderId="0" applyFont="0" applyFill="0" applyBorder="0" applyAlignment="0" applyProtection="0"/>
    <xf numFmtId="0" fontId="21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5" fillId="0" borderId="0"/>
    <xf numFmtId="0" fontId="1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26" fillId="21" borderId="8" applyNumberFormat="0" applyAlignment="0" applyProtection="0">
      <alignment vertical="center"/>
    </xf>
    <xf numFmtId="0" fontId="26" fillId="21" borderId="8" applyNumberFormat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7" fillId="0" borderId="9" applyNumberFormat="0" applyFill="0" applyAlignment="0" applyProtection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2" borderId="1" xfId="1" applyFont="1" applyFill="1" applyBorder="1" applyAlignment="1">
      <alignment vertical="center"/>
    </xf>
    <xf numFmtId="0" fontId="7" fillId="2" borderId="1" xfId="1" applyFont="1" applyFill="1" applyBorder="1" applyAlignment="1">
      <alignment vertical="center"/>
    </xf>
    <xf numFmtId="0" fontId="7" fillId="0" borderId="0" xfId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2" fillId="0" borderId="1" xfId="0" applyFont="1" applyBorder="1">
      <alignment vertical="center"/>
    </xf>
    <xf numFmtId="0" fontId="7" fillId="0" borderId="1" xfId="1" applyFont="1" applyFill="1" applyBorder="1" applyAlignment="1">
      <alignment vertical="top"/>
    </xf>
    <xf numFmtId="0" fontId="2" fillId="0" borderId="1" xfId="1" applyFont="1" applyFill="1" applyBorder="1" applyAlignment="1">
      <alignment vertical="top"/>
    </xf>
    <xf numFmtId="0" fontId="2" fillId="0" borderId="1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2" fillId="0" borderId="0" xfId="1" applyFont="1" applyBorder="1" applyAlignment="1">
      <alignment vertical="top"/>
    </xf>
    <xf numFmtId="0" fontId="4" fillId="0" borderId="0" xfId="1" applyFont="1" applyBorder="1" applyAlignment="1">
      <alignment vertical="top"/>
    </xf>
    <xf numFmtId="0" fontId="7" fillId="2" borderId="1" xfId="1" applyFont="1" applyFill="1" applyBorder="1" applyAlignment="1">
      <alignment vertical="top"/>
    </xf>
    <xf numFmtId="0" fontId="2" fillId="2" borderId="1" xfId="1" applyFont="1" applyFill="1" applyBorder="1" applyAlignment="1">
      <alignment vertical="top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29" fillId="22" borderId="10" xfId="0" applyFont="1" applyFill="1" applyBorder="1">
      <alignment vertical="center"/>
    </xf>
    <xf numFmtId="0" fontId="29" fillId="22" borderId="11" xfId="0" applyFont="1" applyFill="1" applyBorder="1">
      <alignment vertical="center"/>
    </xf>
    <xf numFmtId="0" fontId="29" fillId="22" borderId="12" xfId="0" applyFont="1" applyFill="1" applyBorder="1">
      <alignment vertical="center"/>
    </xf>
    <xf numFmtId="0" fontId="29" fillId="22" borderId="0" xfId="0" applyFont="1" applyFill="1" applyBorder="1">
      <alignment vertical="center"/>
    </xf>
    <xf numFmtId="0" fontId="29" fillId="22" borderId="13" xfId="0" applyFont="1" applyFill="1" applyBorder="1">
      <alignment vertical="center"/>
    </xf>
    <xf numFmtId="0" fontId="29" fillId="22" borderId="14" xfId="0" applyFont="1" applyFill="1" applyBorder="1">
      <alignment vertical="center"/>
    </xf>
    <xf numFmtId="0" fontId="29" fillId="22" borderId="15" xfId="0" applyFont="1" applyFill="1" applyBorder="1">
      <alignment vertical="center"/>
    </xf>
    <xf numFmtId="0" fontId="29" fillId="22" borderId="16" xfId="0" applyFont="1" applyFill="1" applyBorder="1">
      <alignment vertical="center"/>
    </xf>
    <xf numFmtId="0" fontId="29" fillId="22" borderId="17" xfId="0" applyFont="1" applyFill="1" applyBorder="1">
      <alignment vertical="center"/>
    </xf>
    <xf numFmtId="0" fontId="29" fillId="23" borderId="0" xfId="0" applyFont="1" applyFill="1" applyAlignment="1">
      <alignment horizontal="center" vertical="center"/>
    </xf>
    <xf numFmtId="0" fontId="29" fillId="23" borderId="0" xfId="0" applyFont="1" applyFill="1">
      <alignment vertical="center"/>
    </xf>
    <xf numFmtId="0" fontId="31" fillId="0" borderId="0" xfId="0" applyFont="1">
      <alignment vertical="center"/>
    </xf>
    <xf numFmtId="0" fontId="2" fillId="2" borderId="18" xfId="1" applyFont="1" applyFill="1" applyBorder="1" applyAlignment="1">
      <alignment vertical="top"/>
    </xf>
    <xf numFmtId="0" fontId="29" fillId="0" borderId="1" xfId="0" applyFont="1" applyBorder="1">
      <alignment vertical="center"/>
    </xf>
    <xf numFmtId="0" fontId="37" fillId="0" borderId="1" xfId="0" applyFont="1" applyBorder="1">
      <alignment vertical="center"/>
    </xf>
    <xf numFmtId="49" fontId="29" fillId="0" borderId="1" xfId="0" applyNumberFormat="1" applyFont="1" applyBorder="1">
      <alignment vertical="center"/>
    </xf>
    <xf numFmtId="0" fontId="34" fillId="0" borderId="0" xfId="0" applyFont="1" applyAlignment="1">
      <alignment horizontal="right" vertical="center"/>
    </xf>
    <xf numFmtId="0" fontId="33" fillId="0" borderId="0" xfId="0" applyFont="1" applyAlignment="1">
      <alignment horizontal="right" vertical="center"/>
    </xf>
    <xf numFmtId="0" fontId="29" fillId="22" borderId="1" xfId="0" applyFont="1" applyFill="1" applyBorder="1">
      <alignment vertical="center"/>
    </xf>
    <xf numFmtId="0" fontId="34" fillId="0" borderId="0" xfId="0" applyFont="1">
      <alignment vertical="center"/>
    </xf>
    <xf numFmtId="0" fontId="38" fillId="2" borderId="1" xfId="1" applyFont="1" applyFill="1" applyBorder="1" applyAlignment="1">
      <alignment vertical="center"/>
    </xf>
    <xf numFmtId="0" fontId="38" fillId="2" borderId="1" xfId="1" applyFont="1" applyFill="1" applyBorder="1" applyAlignment="1">
      <alignment vertical="top"/>
    </xf>
    <xf numFmtId="0" fontId="36" fillId="0" borderId="0" xfId="0" applyFont="1">
      <alignment vertical="center"/>
    </xf>
    <xf numFmtId="0" fontId="36" fillId="0" borderId="1" xfId="0" applyFont="1" applyBorder="1">
      <alignment vertical="center"/>
    </xf>
    <xf numFmtId="0" fontId="36" fillId="24" borderId="1" xfId="0" applyFont="1" applyFill="1" applyBorder="1">
      <alignment vertical="center"/>
    </xf>
  </cellXfs>
  <cellStyles count="65">
    <cellStyle name="〰" xfId="2"/>
    <cellStyle name="〰〰" xfId="3"/>
    <cellStyle name="〰〰　0" xfId="4"/>
    <cellStyle name="〰_CVTEB4C (version 1)" xfId="5"/>
    <cellStyle name="〰0〰" xfId="6"/>
    <cellStyle name="〰〰0" xfId="7"/>
    <cellStyle name="〰〰〰0" xfId="8"/>
    <cellStyle name="〰0〰_CVTEB4C (version 1)" xfId="9"/>
    <cellStyle name="Header1" xfId="10"/>
    <cellStyle name="Header2" xfId="11"/>
    <cellStyle name="スタイル 1" xfId="12"/>
    <cellStyle name="スタイル 10" xfId="13"/>
    <cellStyle name="スタイル 11" xfId="14"/>
    <cellStyle name="スタイル 12" xfId="15"/>
    <cellStyle name="スタイル 13" xfId="16"/>
    <cellStyle name="スタイル 14" xfId="17"/>
    <cellStyle name="スタイル 15" xfId="18"/>
    <cellStyle name="スタイル 16" xfId="19"/>
    <cellStyle name="スタイル 17" xfId="20"/>
    <cellStyle name="スタイル 18" xfId="21"/>
    <cellStyle name="スタイル 2" xfId="22"/>
    <cellStyle name="スタイル 3" xfId="23"/>
    <cellStyle name="スタイル 4" xfId="24"/>
    <cellStyle name="スタイル 5" xfId="25"/>
    <cellStyle name="スタイル 6" xfId="26"/>
    <cellStyle name="スタイル 7" xfId="27"/>
    <cellStyle name="スタイル 8" xfId="28"/>
    <cellStyle name="スタイル 9" xfId="29"/>
    <cellStyle name="だ" xfId="30"/>
    <cellStyle name="の乺〰0" xfId="31"/>
    <cellStyle name="パーセント 2" xfId="32"/>
    <cellStyle name="パーセント 2 2" xfId="33"/>
    <cellStyle name="パーセント 3" xfId="34"/>
    <cellStyle name="パーセント 3 2" xfId="35"/>
    <cellStyle name="も" xfId="36"/>
    <cellStyle name="一覧表書式_タイトル" xfId="37"/>
    <cellStyle name="桁区切り 2" xfId="38"/>
    <cellStyle name="桁区切り 2 2" xfId="39"/>
    <cellStyle name="桁区切り 3" xfId="40"/>
    <cellStyle name="桁区切り 3 2" xfId="41"/>
    <cellStyle name="咋e" xfId="42"/>
    <cellStyle name="通貨 2" xfId="43"/>
    <cellStyle name="標準" xfId="0" builtinId="0"/>
    <cellStyle name="標準 2" xfId="44"/>
    <cellStyle name="標準 2 2" xfId="1"/>
    <cellStyle name="標準 2 3" xfId="45"/>
    <cellStyle name="標準 2_【XXXXX様】お見積＆作業項目" xfId="46"/>
    <cellStyle name="標準 3" xfId="47"/>
    <cellStyle name="標準 3 2" xfId="48"/>
    <cellStyle name="標準 3_課題一覧" xfId="49"/>
    <cellStyle name="標準 4" xfId="50"/>
    <cellStyle name="標準 5" xfId="51"/>
    <cellStyle name="標準 6" xfId="52"/>
    <cellStyle name="標準 7" xfId="53"/>
    <cellStyle name="標準 8" xfId="54"/>
    <cellStyle name="標準 9" xfId="55"/>
    <cellStyle name="冉0" xfId="56"/>
    <cellStyle name="剑" xfId="57"/>
    <cellStyle name="剑_CVTEB4C (version 1)" xfId="58"/>
    <cellStyle name="暊e" xfId="59"/>
    <cellStyle name="湪　窉书〰〰〰" xfId="60"/>
    <cellStyle name="箊" xfId="61"/>
    <cellStyle name="箊_CVTEB4C (version 1)" xfId="62"/>
    <cellStyle name="誖" xfId="63"/>
    <cellStyle name="誖_CVTEB4C (version 1)" xfId="64"/>
  </cellStyles>
  <dxfs count="3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38100</xdr:rowOff>
        </xdr:from>
        <xdr:to>
          <xdr:col>7</xdr:col>
          <xdr:colOff>638175</xdr:colOff>
          <xdr:row>0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CSV変換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42"/>
  <sheetViews>
    <sheetView tabSelected="1" zoomScale="85" zoomScaleNormal="85" workbookViewId="0">
      <selection activeCell="N23" sqref="N23"/>
    </sheetView>
  </sheetViews>
  <sheetFormatPr defaultRowHeight="13.5" outlineLevelCol="1"/>
  <cols>
    <col min="1" max="1" width="9" style="18"/>
    <col min="2" max="7" width="0" style="18" hidden="1" customWidth="1" outlineLevel="1"/>
    <col min="8" max="8" width="9" style="18" collapsed="1"/>
    <col min="9" max="16384" width="9" style="18"/>
  </cols>
  <sheetData>
    <row r="1" spans="2:21">
      <c r="H1" s="18" t="s">
        <v>104</v>
      </c>
    </row>
    <row r="2" spans="2:21">
      <c r="B2" s="18" t="s">
        <v>36</v>
      </c>
      <c r="H2" s="18" t="s">
        <v>36</v>
      </c>
    </row>
    <row r="3" spans="2:21">
      <c r="B3" s="19" t="s">
        <v>37</v>
      </c>
      <c r="H3" s="19" t="s">
        <v>37</v>
      </c>
      <c r="Q3" s="18" t="s">
        <v>38</v>
      </c>
      <c r="R3" s="18" t="s">
        <v>39</v>
      </c>
    </row>
    <row r="4" spans="2:21">
      <c r="B4" s="19" t="s">
        <v>40</v>
      </c>
      <c r="C4" s="20" t="s">
        <v>41</v>
      </c>
      <c r="H4" s="19" t="s">
        <v>40</v>
      </c>
      <c r="I4" s="18" t="s">
        <v>406</v>
      </c>
      <c r="Q4" s="21" t="s">
        <v>42</v>
      </c>
      <c r="R4" s="22"/>
      <c r="S4" s="22"/>
      <c r="T4" s="22"/>
      <c r="U4" s="27"/>
    </row>
    <row r="5" spans="2:21">
      <c r="B5" s="19" t="s">
        <v>37</v>
      </c>
      <c r="C5" s="19" t="s">
        <v>37</v>
      </c>
      <c r="D5" s="18" t="s">
        <v>43</v>
      </c>
      <c r="E5" s="18" t="s">
        <v>39</v>
      </c>
      <c r="H5" s="19" t="s">
        <v>37</v>
      </c>
      <c r="I5" s="19" t="s">
        <v>40</v>
      </c>
      <c r="J5" s="18" t="s">
        <v>38</v>
      </c>
      <c r="K5" s="18" t="s">
        <v>39</v>
      </c>
      <c r="Q5" s="23" t="s">
        <v>44</v>
      </c>
      <c r="R5" s="24"/>
      <c r="S5" s="24"/>
      <c r="T5" s="24"/>
      <c r="U5" s="28"/>
    </row>
    <row r="6" spans="2:21">
      <c r="B6" s="19" t="s">
        <v>37</v>
      </c>
      <c r="C6" s="19" t="s">
        <v>45</v>
      </c>
      <c r="D6" s="18" t="s">
        <v>46</v>
      </c>
      <c r="H6" s="19" t="s">
        <v>37</v>
      </c>
      <c r="I6" s="19" t="s">
        <v>40</v>
      </c>
      <c r="J6" s="18" t="s">
        <v>46</v>
      </c>
      <c r="Q6" s="23" t="s">
        <v>47</v>
      </c>
      <c r="R6" s="24"/>
      <c r="S6" s="24"/>
      <c r="T6" s="24"/>
      <c r="U6" s="28"/>
    </row>
    <row r="7" spans="2:21">
      <c r="B7" s="19" t="s">
        <v>37</v>
      </c>
      <c r="C7" s="19" t="s">
        <v>37</v>
      </c>
      <c r="D7" s="19" t="s">
        <v>45</v>
      </c>
      <c r="E7" s="18" t="s">
        <v>38</v>
      </c>
      <c r="F7" s="18" t="s">
        <v>39</v>
      </c>
      <c r="H7" s="19" t="s">
        <v>37</v>
      </c>
      <c r="I7" s="19" t="s">
        <v>37</v>
      </c>
      <c r="J7" s="19" t="s">
        <v>40</v>
      </c>
      <c r="K7" s="18" t="s">
        <v>38</v>
      </c>
      <c r="L7" s="18" t="s">
        <v>39</v>
      </c>
      <c r="Q7" s="23" t="s">
        <v>48</v>
      </c>
      <c r="R7" s="24"/>
      <c r="S7" s="24"/>
      <c r="T7" s="24"/>
      <c r="U7" s="28"/>
    </row>
    <row r="8" spans="2:21">
      <c r="B8" s="19" t="s">
        <v>37</v>
      </c>
      <c r="C8" s="19" t="s">
        <v>37</v>
      </c>
      <c r="D8" s="19" t="s">
        <v>45</v>
      </c>
      <c r="E8" s="18" t="s">
        <v>65</v>
      </c>
      <c r="H8" s="19" t="s">
        <v>37</v>
      </c>
      <c r="I8" s="19" t="s">
        <v>37</v>
      </c>
      <c r="J8" s="19" t="s">
        <v>40</v>
      </c>
      <c r="K8" s="18" t="s">
        <v>65</v>
      </c>
      <c r="Q8" s="23" t="s">
        <v>49</v>
      </c>
      <c r="R8" s="24"/>
      <c r="S8" s="24"/>
      <c r="T8" s="24"/>
      <c r="U8" s="28"/>
    </row>
    <row r="9" spans="2:21">
      <c r="B9" s="19" t="s">
        <v>37</v>
      </c>
      <c r="C9" s="19" t="s">
        <v>37</v>
      </c>
      <c r="D9" s="19" t="s">
        <v>45</v>
      </c>
      <c r="E9" s="18" t="s">
        <v>62</v>
      </c>
      <c r="H9" s="19" t="s">
        <v>37</v>
      </c>
      <c r="I9" s="19" t="s">
        <v>37</v>
      </c>
      <c r="J9" s="19" t="s">
        <v>40</v>
      </c>
      <c r="K9" s="18" t="s">
        <v>62</v>
      </c>
      <c r="Q9" s="25"/>
      <c r="R9" s="26"/>
      <c r="S9" s="26"/>
      <c r="T9" s="26"/>
      <c r="U9" s="29"/>
    </row>
    <row r="10" spans="2:21">
      <c r="B10" s="19" t="s">
        <v>37</v>
      </c>
      <c r="C10" s="19" t="s">
        <v>37</v>
      </c>
      <c r="D10" s="19" t="s">
        <v>45</v>
      </c>
      <c r="E10" s="18" t="s">
        <v>63</v>
      </c>
      <c r="H10" s="19" t="s">
        <v>37</v>
      </c>
      <c r="I10" s="19" t="s">
        <v>37</v>
      </c>
      <c r="J10" s="19" t="s">
        <v>40</v>
      </c>
      <c r="K10" s="18" t="s">
        <v>345</v>
      </c>
    </row>
    <row r="11" spans="2:21">
      <c r="B11" s="19" t="s">
        <v>37</v>
      </c>
      <c r="C11" s="19" t="s">
        <v>37</v>
      </c>
      <c r="D11" s="19" t="s">
        <v>50</v>
      </c>
      <c r="E11" s="18" t="s">
        <v>64</v>
      </c>
      <c r="H11" s="19" t="s">
        <v>37</v>
      </c>
      <c r="I11" s="19" t="s">
        <v>37</v>
      </c>
      <c r="J11" s="19" t="s">
        <v>40</v>
      </c>
      <c r="K11" s="18" t="s">
        <v>344</v>
      </c>
    </row>
    <row r="12" spans="2:21">
      <c r="B12" s="19" t="s">
        <v>37</v>
      </c>
      <c r="C12" s="19" t="s">
        <v>37</v>
      </c>
      <c r="D12" s="19" t="s">
        <v>50</v>
      </c>
      <c r="E12" s="18" t="s">
        <v>66</v>
      </c>
      <c r="H12" s="19" t="s">
        <v>37</v>
      </c>
      <c r="I12" s="19" t="s">
        <v>37</v>
      </c>
      <c r="J12" s="19" t="s">
        <v>40</v>
      </c>
      <c r="K12" s="18" t="s">
        <v>72</v>
      </c>
    </row>
    <row r="13" spans="2:21">
      <c r="B13" s="19" t="s">
        <v>37</v>
      </c>
      <c r="C13" s="19" t="s">
        <v>37</v>
      </c>
      <c r="D13" s="19" t="s">
        <v>50</v>
      </c>
      <c r="E13" s="18" t="s">
        <v>67</v>
      </c>
      <c r="H13" s="19" t="s">
        <v>37</v>
      </c>
      <c r="I13" s="19" t="s">
        <v>37</v>
      </c>
      <c r="J13" s="19" t="s">
        <v>37</v>
      </c>
      <c r="K13" s="19" t="s">
        <v>50</v>
      </c>
      <c r="L13" s="18" t="s">
        <v>75</v>
      </c>
    </row>
    <row r="14" spans="2:21">
      <c r="B14" s="19" t="s">
        <v>37</v>
      </c>
      <c r="C14" s="19" t="s">
        <v>37</v>
      </c>
      <c r="D14" s="19" t="s">
        <v>50</v>
      </c>
      <c r="E14" s="18" t="s">
        <v>68</v>
      </c>
      <c r="H14" s="19" t="s">
        <v>37</v>
      </c>
      <c r="I14" s="19" t="s">
        <v>37</v>
      </c>
      <c r="J14" s="19" t="s">
        <v>37</v>
      </c>
      <c r="K14" s="19"/>
    </row>
    <row r="15" spans="2:21">
      <c r="B15" s="19" t="s">
        <v>37</v>
      </c>
      <c r="C15" s="19" t="s">
        <v>37</v>
      </c>
      <c r="D15" s="19" t="s">
        <v>50</v>
      </c>
      <c r="E15" s="18" t="s">
        <v>69</v>
      </c>
      <c r="H15" s="19" t="s">
        <v>37</v>
      </c>
      <c r="I15" s="19" t="s">
        <v>37</v>
      </c>
      <c r="J15" s="19" t="s">
        <v>40</v>
      </c>
      <c r="K15" s="18" t="s">
        <v>76</v>
      </c>
    </row>
    <row r="16" spans="2:21">
      <c r="B16" s="19" t="s">
        <v>37</v>
      </c>
      <c r="C16" s="19" t="s">
        <v>37</v>
      </c>
      <c r="D16" s="19" t="s">
        <v>50</v>
      </c>
      <c r="E16" s="18" t="s">
        <v>70</v>
      </c>
      <c r="H16" s="19" t="s">
        <v>37</v>
      </c>
      <c r="I16" s="19" t="s">
        <v>37</v>
      </c>
      <c r="J16" s="19" t="s">
        <v>37</v>
      </c>
      <c r="K16" s="19" t="s">
        <v>50</v>
      </c>
      <c r="L16" s="18" t="s">
        <v>396</v>
      </c>
    </row>
    <row r="17" spans="2:14">
      <c r="B17" s="19" t="s">
        <v>37</v>
      </c>
      <c r="C17" s="19" t="s">
        <v>37</v>
      </c>
      <c r="H17" s="19" t="s">
        <v>37</v>
      </c>
      <c r="I17" s="19" t="s">
        <v>37</v>
      </c>
      <c r="J17" s="19" t="s">
        <v>37</v>
      </c>
      <c r="K17" s="19" t="s">
        <v>50</v>
      </c>
      <c r="L17" s="18" t="s">
        <v>397</v>
      </c>
    </row>
    <row r="18" spans="2:14">
      <c r="B18" s="30" t="s">
        <v>37</v>
      </c>
      <c r="C18" s="30" t="s">
        <v>50</v>
      </c>
      <c r="D18" s="31" t="s">
        <v>51</v>
      </c>
      <c r="E18" s="31"/>
      <c r="F18" s="31"/>
      <c r="H18" s="19" t="s">
        <v>37</v>
      </c>
      <c r="I18" s="19" t="s">
        <v>37</v>
      </c>
      <c r="J18" s="19" t="s">
        <v>37</v>
      </c>
      <c r="K18" s="19" t="s">
        <v>50</v>
      </c>
      <c r="L18" s="18" t="s">
        <v>398</v>
      </c>
    </row>
    <row r="19" spans="2:14">
      <c r="B19" s="30" t="s">
        <v>37</v>
      </c>
      <c r="C19" s="30" t="s">
        <v>37</v>
      </c>
      <c r="D19" s="30" t="s">
        <v>50</v>
      </c>
      <c r="E19" s="31" t="s">
        <v>52</v>
      </c>
      <c r="F19" s="31" t="s">
        <v>39</v>
      </c>
      <c r="H19" s="19" t="s">
        <v>37</v>
      </c>
      <c r="I19" s="19" t="s">
        <v>37</v>
      </c>
      <c r="J19" s="19" t="s">
        <v>37</v>
      </c>
      <c r="K19" s="19" t="s">
        <v>40</v>
      </c>
      <c r="L19" s="18" t="s">
        <v>399</v>
      </c>
    </row>
    <row r="20" spans="2:14">
      <c r="B20" s="30" t="s">
        <v>37</v>
      </c>
      <c r="C20" s="30" t="s">
        <v>37</v>
      </c>
      <c r="D20" s="30" t="s">
        <v>50</v>
      </c>
      <c r="E20" s="31" t="s">
        <v>53</v>
      </c>
      <c r="F20" s="31"/>
      <c r="H20" s="19" t="s">
        <v>37</v>
      </c>
      <c r="I20" s="19" t="s">
        <v>37</v>
      </c>
      <c r="J20" s="19" t="s">
        <v>37</v>
      </c>
      <c r="K20" s="19" t="s">
        <v>40</v>
      </c>
      <c r="L20" s="18" t="s">
        <v>110</v>
      </c>
    </row>
    <row r="21" spans="2:14">
      <c r="B21" s="19" t="s">
        <v>37</v>
      </c>
      <c r="C21" s="19" t="s">
        <v>37</v>
      </c>
      <c r="H21" s="19" t="s">
        <v>37</v>
      </c>
      <c r="I21" s="19" t="s">
        <v>37</v>
      </c>
      <c r="J21" s="19" t="s">
        <v>37</v>
      </c>
      <c r="K21" s="19" t="s">
        <v>40</v>
      </c>
      <c r="L21" s="18" t="s">
        <v>401</v>
      </c>
    </row>
    <row r="22" spans="2:14">
      <c r="B22" s="30" t="s">
        <v>37</v>
      </c>
      <c r="C22" s="30" t="s">
        <v>50</v>
      </c>
      <c r="D22" s="31" t="s">
        <v>54</v>
      </c>
      <c r="E22" s="31"/>
      <c r="F22" s="31"/>
      <c r="H22" s="19" t="s">
        <v>37</v>
      </c>
      <c r="I22" s="19" t="s">
        <v>37</v>
      </c>
      <c r="J22" s="19" t="s">
        <v>37</v>
      </c>
      <c r="K22" s="19" t="s">
        <v>40</v>
      </c>
      <c r="L22" s="18" t="s">
        <v>400</v>
      </c>
    </row>
    <row r="23" spans="2:14">
      <c r="B23" s="30" t="s">
        <v>37</v>
      </c>
      <c r="C23" s="30" t="s">
        <v>37</v>
      </c>
      <c r="D23" s="30" t="s">
        <v>50</v>
      </c>
      <c r="E23" s="31" t="s">
        <v>52</v>
      </c>
      <c r="F23" s="31" t="s">
        <v>39</v>
      </c>
      <c r="H23" s="19" t="s">
        <v>37</v>
      </c>
      <c r="I23" s="19" t="s">
        <v>37</v>
      </c>
      <c r="J23" s="19" t="s">
        <v>37</v>
      </c>
    </row>
    <row r="24" spans="2:14">
      <c r="B24" s="30" t="s">
        <v>37</v>
      </c>
      <c r="C24" s="30" t="s">
        <v>37</v>
      </c>
      <c r="D24" s="30" t="s">
        <v>50</v>
      </c>
      <c r="E24" s="31" t="s">
        <v>55</v>
      </c>
      <c r="F24" s="31"/>
      <c r="H24" s="19" t="s">
        <v>37</v>
      </c>
      <c r="I24" s="19" t="s">
        <v>37</v>
      </c>
      <c r="J24" s="19" t="s">
        <v>40</v>
      </c>
      <c r="K24" s="18" t="s">
        <v>346</v>
      </c>
      <c r="L24" s="18" t="s">
        <v>402</v>
      </c>
    </row>
    <row r="25" spans="2:14">
      <c r="B25" s="19" t="s">
        <v>37</v>
      </c>
      <c r="C25" s="19" t="s">
        <v>37</v>
      </c>
      <c r="H25" s="19" t="s">
        <v>37</v>
      </c>
      <c r="I25" s="19" t="s">
        <v>37</v>
      </c>
      <c r="J25" s="19" t="s">
        <v>37</v>
      </c>
      <c r="K25" s="19" t="s">
        <v>40</v>
      </c>
      <c r="L25" s="18" t="s">
        <v>403</v>
      </c>
    </row>
    <row r="26" spans="2:14">
      <c r="B26" s="30" t="s">
        <v>37</v>
      </c>
      <c r="C26" s="30" t="s">
        <v>50</v>
      </c>
      <c r="D26" s="31" t="s">
        <v>56</v>
      </c>
      <c r="E26" s="31"/>
      <c r="F26" s="31"/>
      <c r="H26" s="19" t="s">
        <v>37</v>
      </c>
      <c r="I26" s="19" t="s">
        <v>37</v>
      </c>
      <c r="J26" s="19" t="s">
        <v>37</v>
      </c>
    </row>
    <row r="27" spans="2:14">
      <c r="B27" s="30" t="s">
        <v>37</v>
      </c>
      <c r="C27" s="30" t="s">
        <v>37</v>
      </c>
      <c r="D27" s="30" t="s">
        <v>50</v>
      </c>
      <c r="E27" s="31"/>
      <c r="F27" s="31"/>
      <c r="H27" s="19" t="s">
        <v>37</v>
      </c>
      <c r="I27" s="19" t="s">
        <v>37</v>
      </c>
      <c r="J27" s="19" t="s">
        <v>40</v>
      </c>
      <c r="K27" s="18" t="s">
        <v>73</v>
      </c>
    </row>
    <row r="28" spans="2:14">
      <c r="B28" s="19" t="s">
        <v>37</v>
      </c>
      <c r="C28" s="19" t="s">
        <v>37</v>
      </c>
      <c r="H28" s="19" t="s">
        <v>37</v>
      </c>
      <c r="I28" s="19" t="s">
        <v>37</v>
      </c>
      <c r="J28" s="19"/>
      <c r="K28" s="19" t="s">
        <v>40</v>
      </c>
      <c r="L28" s="18" t="s">
        <v>74</v>
      </c>
      <c r="N28" s="18" t="s">
        <v>409</v>
      </c>
    </row>
    <row r="29" spans="2:14">
      <c r="B29" s="30" t="s">
        <v>37</v>
      </c>
      <c r="C29" s="30" t="s">
        <v>50</v>
      </c>
      <c r="D29" s="31" t="s">
        <v>57</v>
      </c>
      <c r="E29" s="31"/>
      <c r="F29" s="31"/>
      <c r="H29" s="19" t="s">
        <v>37</v>
      </c>
      <c r="I29" s="19" t="s">
        <v>37</v>
      </c>
      <c r="J29" s="19"/>
      <c r="K29" s="19" t="s">
        <v>40</v>
      </c>
      <c r="L29" s="18" t="s">
        <v>405</v>
      </c>
      <c r="N29" s="18" t="s">
        <v>408</v>
      </c>
    </row>
    <row r="30" spans="2:14">
      <c r="B30" s="30" t="s">
        <v>37</v>
      </c>
      <c r="C30" s="30" t="s">
        <v>37</v>
      </c>
      <c r="D30" s="30" t="s">
        <v>50</v>
      </c>
      <c r="E30" s="31" t="s">
        <v>52</v>
      </c>
      <c r="F30" s="31" t="s">
        <v>39</v>
      </c>
      <c r="H30" s="19" t="s">
        <v>37</v>
      </c>
      <c r="I30" s="19" t="s">
        <v>37</v>
      </c>
      <c r="J30" s="19"/>
      <c r="K30" s="19" t="s">
        <v>40</v>
      </c>
      <c r="L30" s="18" t="s">
        <v>404</v>
      </c>
      <c r="N30" s="18" t="s">
        <v>410</v>
      </c>
    </row>
    <row r="31" spans="2:14">
      <c r="B31" s="30" t="s">
        <v>37</v>
      </c>
      <c r="C31" s="30" t="s">
        <v>37</v>
      </c>
      <c r="D31" s="30" t="s">
        <v>50</v>
      </c>
      <c r="E31" s="31"/>
      <c r="F31" s="31"/>
      <c r="H31" s="19" t="s">
        <v>37</v>
      </c>
      <c r="I31" s="19" t="s">
        <v>37</v>
      </c>
      <c r="J31" s="19"/>
      <c r="K31" s="19"/>
    </row>
    <row r="32" spans="2:14">
      <c r="B32" s="30" t="s">
        <v>37</v>
      </c>
      <c r="C32" s="30" t="s">
        <v>37</v>
      </c>
      <c r="D32" s="30" t="s">
        <v>50</v>
      </c>
      <c r="E32" s="31"/>
      <c r="F32" s="31"/>
      <c r="I32" s="19" t="s">
        <v>40</v>
      </c>
      <c r="J32" s="18" t="s">
        <v>46</v>
      </c>
      <c r="K32" s="19"/>
    </row>
    <row r="33" spans="2:12">
      <c r="B33" s="19" t="s">
        <v>37</v>
      </c>
      <c r="C33" s="19" t="s">
        <v>37</v>
      </c>
      <c r="J33" s="19" t="s">
        <v>40</v>
      </c>
      <c r="K33" s="18" t="s">
        <v>407</v>
      </c>
    </row>
    <row r="34" spans="2:12">
      <c r="B34" s="19" t="s">
        <v>37</v>
      </c>
      <c r="C34" s="19" t="s">
        <v>50</v>
      </c>
      <c r="D34" s="18" t="s">
        <v>58</v>
      </c>
      <c r="J34" s="19"/>
    </row>
    <row r="35" spans="2:12">
      <c r="B35" s="19" t="s">
        <v>37</v>
      </c>
      <c r="C35" s="19" t="s">
        <v>37</v>
      </c>
      <c r="D35" s="19" t="s">
        <v>50</v>
      </c>
      <c r="E35" s="18" t="s">
        <v>52</v>
      </c>
      <c r="F35" s="18" t="s">
        <v>39</v>
      </c>
      <c r="K35" s="19"/>
    </row>
    <row r="36" spans="2:12">
      <c r="B36" s="19" t="s">
        <v>37</v>
      </c>
      <c r="C36" s="19" t="s">
        <v>37</v>
      </c>
      <c r="D36" s="19" t="s">
        <v>50</v>
      </c>
      <c r="E36" s="18" t="s">
        <v>71</v>
      </c>
      <c r="K36" s="19"/>
    </row>
    <row r="37" spans="2:12">
      <c r="B37" s="19" t="s">
        <v>37</v>
      </c>
      <c r="C37" s="19" t="s">
        <v>37</v>
      </c>
      <c r="K37" s="19"/>
    </row>
    <row r="38" spans="2:12">
      <c r="B38" s="19" t="s">
        <v>37</v>
      </c>
      <c r="C38" s="19" t="s">
        <v>37</v>
      </c>
      <c r="K38" s="19"/>
      <c r="L38" s="19"/>
    </row>
    <row r="39" spans="2:12">
      <c r="B39" s="19" t="s">
        <v>37</v>
      </c>
      <c r="C39" s="19" t="s">
        <v>50</v>
      </c>
      <c r="D39" s="18" t="s">
        <v>59</v>
      </c>
      <c r="K39" s="19"/>
    </row>
    <row r="40" spans="2:12">
      <c r="B40" s="19" t="s">
        <v>37</v>
      </c>
      <c r="C40" s="19" t="s">
        <v>37</v>
      </c>
      <c r="D40" s="19" t="s">
        <v>50</v>
      </c>
      <c r="E40" s="18" t="s">
        <v>60</v>
      </c>
      <c r="K40" s="19"/>
    </row>
    <row r="41" spans="2:12">
      <c r="B41" s="19" t="s">
        <v>37</v>
      </c>
      <c r="D41" s="19" t="s">
        <v>50</v>
      </c>
      <c r="E41" s="18" t="s">
        <v>61</v>
      </c>
      <c r="K41" s="19"/>
      <c r="L41" s="19"/>
    </row>
    <row r="42" spans="2:12">
      <c r="B42" s="19" t="s">
        <v>37</v>
      </c>
      <c r="D42" s="19"/>
    </row>
  </sheetData>
  <sortState ref="L16:M22">
    <sortCondition ref="L16:L22"/>
  </sortState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7"/>
  <sheetViews>
    <sheetView zoomScaleNormal="100" workbookViewId="0">
      <pane ySplit="4" topLeftCell="A5" activePane="bottomLeft" state="frozen"/>
      <selection pane="bottomLeft" activeCell="H16" sqref="H16"/>
    </sheetView>
  </sheetViews>
  <sheetFormatPr defaultRowHeight="10.5"/>
  <cols>
    <col min="1" max="1" width="2.625" style="1" customWidth="1"/>
    <col min="2" max="2" width="2.75" style="1" customWidth="1"/>
    <col min="3" max="3" width="23.875" style="1" bestFit="1" customWidth="1"/>
    <col min="4" max="4" width="12.625" style="1" customWidth="1"/>
    <col min="5" max="5" width="4" style="1" customWidth="1"/>
    <col min="6" max="7" width="12.625" style="1" customWidth="1"/>
    <col min="8" max="8" width="9.75" style="1" bestFit="1" customWidth="1"/>
    <col min="9" max="9" width="4.25" style="1" bestFit="1" customWidth="1"/>
    <col min="10" max="10" width="5.625" style="1" bestFit="1" customWidth="1"/>
    <col min="11" max="11" width="3.25" style="1" bestFit="1" customWidth="1"/>
    <col min="12" max="13" width="4.375" style="1" bestFit="1" customWidth="1"/>
    <col min="14" max="14" width="5.75" style="1" bestFit="1" customWidth="1"/>
    <col min="15" max="15" width="17.625" style="1" customWidth="1"/>
    <col min="16" max="16" width="4.75" style="1" customWidth="1"/>
    <col min="17" max="17" width="32.625" style="2" customWidth="1"/>
    <col min="18" max="18" width="17.625" style="2" customWidth="1"/>
    <col min="19" max="19" width="2.625" style="1" customWidth="1"/>
    <col min="20" max="16384" width="9" style="1"/>
  </cols>
  <sheetData>
    <row r="1" spans="1:18">
      <c r="A1" s="17" t="s">
        <v>26</v>
      </c>
    </row>
    <row r="2" spans="1:18">
      <c r="Q2" s="2" t="s">
        <v>0</v>
      </c>
      <c r="R2" s="2" t="s">
        <v>1</v>
      </c>
    </row>
    <row r="3" spans="1:18">
      <c r="Q3" s="2" t="str">
        <f>"DROP TABLE " &amp; $D5 &amp; ";"</f>
        <v>DROP TABLE M_SITE;</v>
      </c>
    </row>
    <row r="4" spans="1:18">
      <c r="A4" s="1" t="s">
        <v>2</v>
      </c>
      <c r="B4" s="3"/>
      <c r="C4" s="3" t="s">
        <v>3</v>
      </c>
      <c r="D4" s="3" t="s">
        <v>4</v>
      </c>
      <c r="E4" s="4" t="s">
        <v>5</v>
      </c>
      <c r="F4" s="4" t="s">
        <v>6</v>
      </c>
      <c r="G4" s="4" t="s">
        <v>7</v>
      </c>
      <c r="H4" s="5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 t="s">
        <v>13</v>
      </c>
      <c r="N4" s="5" t="s">
        <v>14</v>
      </c>
      <c r="O4" s="5" t="s">
        <v>15</v>
      </c>
      <c r="P4" s="6"/>
      <c r="Q4" s="2" t="str">
        <f>"CREATE TABLE " &amp; $D5 &amp; " ("</f>
        <v>CREATE TABLE M_SITE (</v>
      </c>
      <c r="R4" s="7"/>
    </row>
    <row r="5" spans="1:18">
      <c r="A5" s="1" t="s">
        <v>2</v>
      </c>
      <c r="B5" s="8">
        <v>1</v>
      </c>
      <c r="C5" s="8" t="s">
        <v>78</v>
      </c>
      <c r="D5" s="8" t="s">
        <v>80</v>
      </c>
      <c r="E5" s="9">
        <v>1</v>
      </c>
      <c r="F5" s="10" t="s">
        <v>83</v>
      </c>
      <c r="G5" s="10" t="s">
        <v>83</v>
      </c>
      <c r="H5" s="11" t="s">
        <v>365</v>
      </c>
      <c r="I5" s="12"/>
      <c r="J5" s="12"/>
      <c r="K5" s="11" t="s">
        <v>16</v>
      </c>
      <c r="L5" s="12"/>
      <c r="M5" s="12"/>
      <c r="N5" s="11" t="s">
        <v>16</v>
      </c>
      <c r="O5" s="11"/>
      <c r="P5" s="13"/>
      <c r="Q5" s="2" t="str">
        <f t="shared" ref="Q5:Q13" si="0">$G5 &amp; " " &amp; $H5 &amp; " " &amp; IF($N5="○","NOT NULL","") &amp; IF($B6="",""," ,")</f>
        <v>ID INT(3) NOT NULL ,</v>
      </c>
      <c r="R5" s="14"/>
    </row>
    <row r="6" spans="1:18">
      <c r="A6" s="1" t="s">
        <v>2</v>
      </c>
      <c r="B6" s="8">
        <v>1</v>
      </c>
      <c r="C6" s="8" t="s">
        <v>77</v>
      </c>
      <c r="D6" s="8" t="s">
        <v>79</v>
      </c>
      <c r="E6" s="9">
        <v>2</v>
      </c>
      <c r="F6" s="10" t="s">
        <v>31</v>
      </c>
      <c r="G6" s="10" t="s">
        <v>32</v>
      </c>
      <c r="H6" s="11" t="s">
        <v>17</v>
      </c>
      <c r="I6" s="12"/>
      <c r="J6" s="12"/>
      <c r="K6" s="11" t="s">
        <v>16</v>
      </c>
      <c r="L6" s="12"/>
      <c r="M6" s="12"/>
      <c r="N6" s="11" t="s">
        <v>16</v>
      </c>
      <c r="O6" s="11"/>
      <c r="P6" s="13"/>
      <c r="Q6" s="2" t="str">
        <f>$G6 &amp; " " &amp; $H6 &amp; " " &amp; IF($N6="○","NOT NULL","") &amp; IF($B8="",""," ,")</f>
        <v>SITE_NM VARCHAR(45) NOT NULL ,</v>
      </c>
      <c r="R6" s="14"/>
    </row>
    <row r="7" spans="1:18">
      <c r="A7" s="1" t="s">
        <v>2</v>
      </c>
      <c r="B7" s="8">
        <v>1</v>
      </c>
      <c r="C7" s="8" t="s">
        <v>77</v>
      </c>
      <c r="D7" s="8" t="s">
        <v>79</v>
      </c>
      <c r="E7" s="9">
        <v>3</v>
      </c>
      <c r="F7" s="10" t="s">
        <v>349</v>
      </c>
      <c r="G7" s="10" t="s">
        <v>348</v>
      </c>
      <c r="H7" s="11" t="s">
        <v>351</v>
      </c>
      <c r="I7" s="12"/>
      <c r="J7" s="12"/>
      <c r="K7" s="11" t="s">
        <v>16</v>
      </c>
      <c r="L7" s="12"/>
      <c r="M7" s="12"/>
      <c r="N7" s="11" t="s">
        <v>16</v>
      </c>
      <c r="O7" s="11"/>
      <c r="P7" s="13"/>
      <c r="Q7" s="2" t="str">
        <f t="shared" si="0"/>
        <v>SITE_SNM VARCHAR(10) NOT NULL ,</v>
      </c>
      <c r="R7" s="14"/>
    </row>
    <row r="8" spans="1:18">
      <c r="A8" s="1" t="s">
        <v>2</v>
      </c>
      <c r="B8" s="8">
        <v>1</v>
      </c>
      <c r="C8" s="8" t="s">
        <v>77</v>
      </c>
      <c r="D8" s="8" t="s">
        <v>79</v>
      </c>
      <c r="E8" s="9">
        <v>3</v>
      </c>
      <c r="F8" s="10" t="s">
        <v>85</v>
      </c>
      <c r="G8" s="10" t="s">
        <v>85</v>
      </c>
      <c r="H8" s="11" t="s">
        <v>87</v>
      </c>
      <c r="I8" s="12"/>
      <c r="J8" s="12"/>
      <c r="K8" s="11" t="s">
        <v>16</v>
      </c>
      <c r="L8" s="12"/>
      <c r="M8" s="12"/>
      <c r="N8" s="11" t="s">
        <v>16</v>
      </c>
      <c r="O8" s="11"/>
      <c r="P8" s="13"/>
      <c r="Q8" s="2" t="str">
        <f t="shared" si="0"/>
        <v>URL VARCHAR(255) NOT NULL ,</v>
      </c>
      <c r="R8" s="14"/>
    </row>
    <row r="9" spans="1:18">
      <c r="A9" s="1" t="s">
        <v>2</v>
      </c>
      <c r="B9" s="8">
        <v>1</v>
      </c>
      <c r="C9" s="8" t="s">
        <v>77</v>
      </c>
      <c r="D9" s="8" t="s">
        <v>79</v>
      </c>
      <c r="E9" s="9">
        <v>4</v>
      </c>
      <c r="F9" s="10" t="s">
        <v>86</v>
      </c>
      <c r="G9" s="10" t="s">
        <v>89</v>
      </c>
      <c r="H9" s="11" t="s">
        <v>88</v>
      </c>
      <c r="I9" s="12"/>
      <c r="J9" s="12"/>
      <c r="K9" s="11" t="s">
        <v>16</v>
      </c>
      <c r="L9" s="12"/>
      <c r="M9" s="12"/>
      <c r="N9" s="11" t="s">
        <v>16</v>
      </c>
      <c r="O9" s="11"/>
      <c r="P9" s="13"/>
      <c r="Q9" s="2" t="str">
        <f t="shared" si="0"/>
        <v>METHOD VARCHAR(10) NOT NULL ,</v>
      </c>
      <c r="R9" s="14"/>
    </row>
    <row r="10" spans="1:18">
      <c r="A10" s="1" t="s">
        <v>2</v>
      </c>
      <c r="B10" s="8">
        <v>1</v>
      </c>
      <c r="C10" s="8" t="s">
        <v>77</v>
      </c>
      <c r="D10" s="8" t="s">
        <v>79</v>
      </c>
      <c r="E10" s="9">
        <v>5</v>
      </c>
      <c r="F10" s="10" t="s">
        <v>90</v>
      </c>
      <c r="G10" s="10" t="s">
        <v>91</v>
      </c>
      <c r="H10" s="11" t="s">
        <v>87</v>
      </c>
      <c r="I10" s="12"/>
      <c r="J10" s="12"/>
      <c r="K10" s="12"/>
      <c r="L10" s="12"/>
      <c r="M10" s="12"/>
      <c r="N10" s="11" t="s">
        <v>16</v>
      </c>
      <c r="O10" s="11"/>
      <c r="P10" s="13"/>
      <c r="Q10" s="2" t="str">
        <f t="shared" si="0"/>
        <v>CNT_REPLACE_STRING VARCHAR(255) NOT NULL ,</v>
      </c>
      <c r="R10" s="14"/>
    </row>
    <row r="11" spans="1:18">
      <c r="A11" s="1" t="s">
        <v>2</v>
      </c>
      <c r="B11" s="8">
        <v>1</v>
      </c>
      <c r="C11" s="8" t="s">
        <v>77</v>
      </c>
      <c r="D11" s="8" t="s">
        <v>79</v>
      </c>
      <c r="E11" s="9">
        <v>6</v>
      </c>
      <c r="F11" s="10" t="s">
        <v>92</v>
      </c>
      <c r="G11" s="10" t="s">
        <v>93</v>
      </c>
      <c r="H11" s="11" t="s">
        <v>367</v>
      </c>
      <c r="I11" s="12"/>
      <c r="J11" s="12"/>
      <c r="K11" s="12"/>
      <c r="L11" s="12"/>
      <c r="M11" s="12"/>
      <c r="N11" s="11"/>
      <c r="O11" s="11" t="s">
        <v>364</v>
      </c>
      <c r="P11" s="13"/>
      <c r="Q11" s="2" t="str">
        <f t="shared" si="0"/>
        <v>TYPE INT(1)  ,</v>
      </c>
      <c r="R11" s="14"/>
    </row>
    <row r="12" spans="1:18">
      <c r="A12" s="1" t="s">
        <v>2</v>
      </c>
      <c r="B12" s="8">
        <v>1</v>
      </c>
      <c r="C12" s="8" t="s">
        <v>77</v>
      </c>
      <c r="D12" s="8" t="s">
        <v>79</v>
      </c>
      <c r="E12" s="9">
        <v>7</v>
      </c>
      <c r="F12" s="10" t="s">
        <v>95</v>
      </c>
      <c r="G12" s="10" t="s">
        <v>96</v>
      </c>
      <c r="H12" s="11" t="s">
        <v>336</v>
      </c>
      <c r="I12" s="12"/>
      <c r="J12" s="12"/>
      <c r="K12" s="12"/>
      <c r="L12" s="12"/>
      <c r="M12" s="12"/>
      <c r="N12" s="11"/>
      <c r="O12" s="11"/>
      <c r="P12" s="13"/>
      <c r="Q12" s="2" t="str">
        <f t="shared" si="0"/>
        <v>POST_WORD VARCHAR(50)  ,</v>
      </c>
      <c r="R12" s="14"/>
    </row>
    <row r="13" spans="1:18">
      <c r="A13" s="1" t="s">
        <v>2</v>
      </c>
      <c r="B13" s="8">
        <v>1</v>
      </c>
      <c r="C13" s="8" t="s">
        <v>77</v>
      </c>
      <c r="D13" s="8" t="s">
        <v>79</v>
      </c>
      <c r="E13" s="9">
        <v>8</v>
      </c>
      <c r="F13" s="10" t="s">
        <v>97</v>
      </c>
      <c r="G13" s="10" t="s">
        <v>98</v>
      </c>
      <c r="H13" s="11" t="s">
        <v>99</v>
      </c>
      <c r="I13" s="12"/>
      <c r="J13" s="12"/>
      <c r="K13" s="12"/>
      <c r="L13" s="12"/>
      <c r="M13" s="12"/>
      <c r="N13" s="11"/>
      <c r="O13" s="11"/>
      <c r="P13" s="13"/>
      <c r="Q13" s="2" t="str">
        <f t="shared" si="0"/>
        <v>DELETE_FLG BOOLEAN  ,</v>
      </c>
      <c r="R13" s="14"/>
    </row>
    <row r="14" spans="1:18">
      <c r="A14" s="1" t="s">
        <v>2</v>
      </c>
      <c r="B14" s="8">
        <v>1</v>
      </c>
      <c r="C14" s="8" t="s">
        <v>77</v>
      </c>
      <c r="D14" s="8" t="s">
        <v>79</v>
      </c>
      <c r="E14" s="3" t="s">
        <v>18</v>
      </c>
      <c r="F14" s="3" t="s">
        <v>19</v>
      </c>
      <c r="G14" s="3" t="s">
        <v>20</v>
      </c>
      <c r="H14" s="15" t="s">
        <v>21</v>
      </c>
      <c r="I14" s="16" t="s">
        <v>22</v>
      </c>
      <c r="J14" s="16" t="s">
        <v>23</v>
      </c>
      <c r="K14" s="16" t="s">
        <v>15</v>
      </c>
      <c r="L14" s="15"/>
      <c r="M14" s="15"/>
      <c r="N14" s="16"/>
      <c r="O14" s="16"/>
      <c r="P14" s="13"/>
      <c r="Q14" s="14"/>
      <c r="R14" s="14"/>
    </row>
    <row r="15" spans="1:18">
      <c r="A15" s="1" t="s">
        <v>2</v>
      </c>
      <c r="B15" s="8">
        <v>1</v>
      </c>
      <c r="C15" s="8" t="s">
        <v>77</v>
      </c>
      <c r="D15" s="8" t="s">
        <v>79</v>
      </c>
      <c r="E15" s="8">
        <v>1</v>
      </c>
      <c r="F15" s="8" t="s">
        <v>24</v>
      </c>
      <c r="G15" s="8" t="s">
        <v>84</v>
      </c>
      <c r="H15" s="9"/>
      <c r="I15" s="10" t="s">
        <v>25</v>
      </c>
      <c r="J15" s="10" t="s">
        <v>25</v>
      </c>
      <c r="K15" s="11"/>
      <c r="L15" s="12"/>
      <c r="M15" s="12"/>
      <c r="N15" s="11"/>
      <c r="O15" s="11"/>
      <c r="P15" s="13"/>
      <c r="Q15" s="2" t="str">
        <f>IF(F15="PRIMARY","  PRIMARY KEY (" &amp; G15 &amp; ")","")</f>
        <v xml:space="preserve">  PRIMARY KEY (ID)</v>
      </c>
      <c r="R15" s="14"/>
    </row>
    <row r="16" spans="1:18">
      <c r="A16" s="1" t="s">
        <v>2</v>
      </c>
      <c r="Q16" s="2" t="str">
        <f>") ENGINE=InnoDB DEFAULT CHARSET=utf8 " &amp; IF(TRIM(C15)="","","COMMENT '" &amp; C15 &amp; "'") &amp;";"</f>
        <v>) ENGINE=InnoDB DEFAULT CHARSET=utf8 COMMENT 'サイトマスタ';</v>
      </c>
    </row>
    <row r="17" spans="1:18">
      <c r="Q17" s="2" t="str">
        <f>"DROP TABLE " &amp; $D19 &amp; ";"</f>
        <v>DROP TABLE M_CATEGORY;</v>
      </c>
    </row>
    <row r="18" spans="1:18">
      <c r="A18" s="1" t="s">
        <v>2</v>
      </c>
      <c r="B18" s="3"/>
      <c r="C18" s="3" t="s">
        <v>3</v>
      </c>
      <c r="D18" s="3" t="s">
        <v>4</v>
      </c>
      <c r="E18" s="4" t="s">
        <v>5</v>
      </c>
      <c r="F18" s="4" t="s">
        <v>6</v>
      </c>
      <c r="G18" s="4" t="s">
        <v>7</v>
      </c>
      <c r="H18" s="5" t="s">
        <v>8</v>
      </c>
      <c r="I18" s="5" t="s">
        <v>9</v>
      </c>
      <c r="J18" s="5" t="s">
        <v>10</v>
      </c>
      <c r="K18" s="5" t="s">
        <v>11</v>
      </c>
      <c r="L18" s="5" t="s">
        <v>12</v>
      </c>
      <c r="M18" s="5" t="s">
        <v>13</v>
      </c>
      <c r="N18" s="5" t="s">
        <v>14</v>
      </c>
      <c r="O18" s="5" t="s">
        <v>15</v>
      </c>
      <c r="P18" s="6"/>
      <c r="Q18" s="2" t="str">
        <f>"CREATE TABLE " &amp; $D19 &amp; " ("</f>
        <v>CREATE TABLE M_CATEGORY (</v>
      </c>
      <c r="R18" s="7"/>
    </row>
    <row r="19" spans="1:18">
      <c r="A19" s="1" t="s">
        <v>2</v>
      </c>
      <c r="B19" s="8">
        <v>2</v>
      </c>
      <c r="C19" s="8" t="s">
        <v>113</v>
      </c>
      <c r="D19" s="8" t="s">
        <v>114</v>
      </c>
      <c r="E19" s="9">
        <v>1</v>
      </c>
      <c r="F19" s="10" t="s">
        <v>83</v>
      </c>
      <c r="G19" s="10" t="s">
        <v>83</v>
      </c>
      <c r="H19" s="11" t="s">
        <v>118</v>
      </c>
      <c r="I19" s="12"/>
      <c r="J19" s="12"/>
      <c r="K19" s="11" t="s">
        <v>16</v>
      </c>
      <c r="L19" s="12"/>
      <c r="M19" s="12"/>
      <c r="N19" s="11" t="s">
        <v>16</v>
      </c>
      <c r="O19" s="11"/>
      <c r="P19" s="13"/>
      <c r="Q19" s="2" t="str">
        <f t="shared" ref="Q19:Q21" si="1">$G19 &amp; " " &amp; $H19 &amp; " " &amp; IF($N19="○","NOT NULL","") &amp; IF($B20="",""," ,")</f>
        <v>ID INT(2) NOT NULL ,</v>
      </c>
      <c r="R19" s="14"/>
    </row>
    <row r="20" spans="1:18">
      <c r="A20" s="1" t="s">
        <v>2</v>
      </c>
      <c r="B20" s="8">
        <v>2</v>
      </c>
      <c r="C20" s="8" t="s">
        <v>113</v>
      </c>
      <c r="D20" s="8" t="s">
        <v>114</v>
      </c>
      <c r="E20" s="9">
        <v>2</v>
      </c>
      <c r="F20" s="10" t="s">
        <v>28</v>
      </c>
      <c r="G20" s="10" t="s">
        <v>115</v>
      </c>
      <c r="H20" s="11" t="s">
        <v>17</v>
      </c>
      <c r="I20" s="12"/>
      <c r="J20" s="12"/>
      <c r="K20" s="11" t="s">
        <v>16</v>
      </c>
      <c r="L20" s="12"/>
      <c r="M20" s="12"/>
      <c r="N20" s="11" t="s">
        <v>16</v>
      </c>
      <c r="O20" s="11"/>
      <c r="P20" s="13"/>
      <c r="Q20" s="2" t="str">
        <f t="shared" si="1"/>
        <v>CATEGORY_NM VARCHAR(45) NOT NULL ,</v>
      </c>
      <c r="R20" s="14"/>
    </row>
    <row r="21" spans="1:18">
      <c r="A21" s="1" t="s">
        <v>2</v>
      </c>
      <c r="B21" s="8">
        <v>2</v>
      </c>
      <c r="C21" s="8" t="s">
        <v>113</v>
      </c>
      <c r="D21" s="8" t="s">
        <v>114</v>
      </c>
      <c r="E21" s="9">
        <v>3</v>
      </c>
      <c r="F21" s="10" t="s">
        <v>97</v>
      </c>
      <c r="G21" s="10" t="s">
        <v>98</v>
      </c>
      <c r="H21" s="11" t="s">
        <v>99</v>
      </c>
      <c r="I21" s="12"/>
      <c r="J21" s="12"/>
      <c r="K21" s="12"/>
      <c r="L21" s="12"/>
      <c r="M21" s="12"/>
      <c r="N21" s="11"/>
      <c r="O21" s="11"/>
      <c r="P21" s="13"/>
      <c r="Q21" s="2" t="str">
        <f t="shared" si="1"/>
        <v>DELETE_FLG BOOLEAN  ,</v>
      </c>
      <c r="R21" s="14"/>
    </row>
    <row r="22" spans="1:18">
      <c r="A22" s="1" t="s">
        <v>2</v>
      </c>
      <c r="B22" s="8">
        <v>2</v>
      </c>
      <c r="C22" s="8" t="s">
        <v>113</v>
      </c>
      <c r="D22" s="8" t="s">
        <v>114</v>
      </c>
      <c r="E22" s="3" t="s">
        <v>18</v>
      </c>
      <c r="F22" s="3" t="s">
        <v>19</v>
      </c>
      <c r="G22" s="3" t="s">
        <v>20</v>
      </c>
      <c r="H22" s="15" t="s">
        <v>21</v>
      </c>
      <c r="I22" s="16" t="s">
        <v>22</v>
      </c>
      <c r="J22" s="16" t="s">
        <v>23</v>
      </c>
      <c r="K22" s="16" t="s">
        <v>15</v>
      </c>
      <c r="L22" s="15"/>
      <c r="M22" s="15"/>
      <c r="N22" s="16"/>
      <c r="O22" s="16"/>
      <c r="P22" s="13"/>
      <c r="Q22" s="14"/>
      <c r="R22" s="14"/>
    </row>
    <row r="23" spans="1:18">
      <c r="A23" s="1" t="s">
        <v>2</v>
      </c>
      <c r="B23" s="8">
        <v>2</v>
      </c>
      <c r="C23" s="8" t="s">
        <v>113</v>
      </c>
      <c r="D23" s="8" t="s">
        <v>114</v>
      </c>
      <c r="E23" s="8">
        <v>1</v>
      </c>
      <c r="F23" s="8" t="s">
        <v>24</v>
      </c>
      <c r="G23" s="8" t="s">
        <v>83</v>
      </c>
      <c r="H23" s="9"/>
      <c r="I23" s="10" t="s">
        <v>25</v>
      </c>
      <c r="J23" s="10" t="s">
        <v>25</v>
      </c>
      <c r="K23" s="11"/>
      <c r="L23" s="12"/>
      <c r="M23" s="12"/>
      <c r="N23" s="11"/>
      <c r="O23" s="11"/>
      <c r="P23" s="13"/>
      <c r="Q23" s="2" t="str">
        <f>IF(F23="PRIMARY","  PRIMARY KEY (" &amp; G23 &amp; ")","")</f>
        <v xml:space="preserve">  PRIMARY KEY (ID)</v>
      </c>
      <c r="R23" s="14"/>
    </row>
    <row r="24" spans="1:18">
      <c r="A24" s="1" t="s">
        <v>2</v>
      </c>
      <c r="Q24" s="2" t="str">
        <f>") ENGINE=InnoDB DEFAULT CHARSET=utf8 " &amp; IF(TRIM(C23)="","","COMMENT '" &amp; C23 &amp; "'") &amp;";"</f>
        <v>) ENGINE=InnoDB DEFAULT CHARSET=utf8 COMMENT 'カテゴリマスタ';</v>
      </c>
    </row>
    <row r="25" spans="1:18">
      <c r="Q25" s="2" t="str">
        <f>"DROP TABLE " &amp; $D27 &amp; ";"</f>
        <v>DROP TABLE M_WORD;</v>
      </c>
    </row>
    <row r="26" spans="1:18">
      <c r="A26" s="1" t="s">
        <v>2</v>
      </c>
      <c r="B26" s="3"/>
      <c r="C26" s="3" t="s">
        <v>3</v>
      </c>
      <c r="D26" s="3" t="s">
        <v>4</v>
      </c>
      <c r="E26" s="4" t="s">
        <v>5</v>
      </c>
      <c r="F26" s="4" t="s">
        <v>6</v>
      </c>
      <c r="G26" s="4" t="s">
        <v>7</v>
      </c>
      <c r="H26" s="5" t="s">
        <v>8</v>
      </c>
      <c r="I26" s="5" t="s">
        <v>9</v>
      </c>
      <c r="J26" s="5" t="s">
        <v>10</v>
      </c>
      <c r="K26" s="5" t="s">
        <v>11</v>
      </c>
      <c r="L26" s="5" t="s">
        <v>12</v>
      </c>
      <c r="M26" s="5" t="s">
        <v>13</v>
      </c>
      <c r="N26" s="5" t="s">
        <v>14</v>
      </c>
      <c r="O26" s="5" t="s">
        <v>15</v>
      </c>
      <c r="P26" s="6"/>
      <c r="Q26" s="2" t="str">
        <f>"CREATE TABLE " &amp; $D27 &amp; " ("</f>
        <v>CREATE TABLE M_WORD (</v>
      </c>
      <c r="R26" s="7"/>
    </row>
    <row r="27" spans="1:18">
      <c r="A27" s="1" t="s">
        <v>2</v>
      </c>
      <c r="B27" s="8">
        <v>3</v>
      </c>
      <c r="C27" s="8" t="s">
        <v>81</v>
      </c>
      <c r="D27" s="8" t="s">
        <v>82</v>
      </c>
      <c r="E27" s="9">
        <v>1</v>
      </c>
      <c r="F27" s="10" t="s">
        <v>84</v>
      </c>
      <c r="G27" s="10" t="s">
        <v>83</v>
      </c>
      <c r="H27" s="11" t="s">
        <v>102</v>
      </c>
      <c r="I27" s="12"/>
      <c r="J27" s="12"/>
      <c r="K27" s="11" t="s">
        <v>16</v>
      </c>
      <c r="L27" s="12"/>
      <c r="M27" s="12"/>
      <c r="N27" s="11" t="s">
        <v>16</v>
      </c>
      <c r="O27" s="11"/>
      <c r="P27" s="13"/>
      <c r="Q27" s="2" t="str">
        <f t="shared" ref="Q27:Q31" si="2">$G27 &amp; " " &amp; $H27 &amp; " " &amp; IF($N27="○","NOT NULL","") &amp; IF($B28="",""," ,")</f>
        <v>ID INT(4) NOT NULL ,</v>
      </c>
      <c r="R27" s="14"/>
    </row>
    <row r="28" spans="1:18">
      <c r="A28" s="1" t="s">
        <v>2</v>
      </c>
      <c r="B28" s="8">
        <v>3</v>
      </c>
      <c r="C28" s="8" t="s">
        <v>81</v>
      </c>
      <c r="D28" s="8" t="s">
        <v>82</v>
      </c>
      <c r="E28" s="9">
        <v>2</v>
      </c>
      <c r="F28" s="10" t="s">
        <v>119</v>
      </c>
      <c r="G28" s="10" t="s">
        <v>100</v>
      </c>
      <c r="H28" s="11" t="s">
        <v>17</v>
      </c>
      <c r="I28" s="12"/>
      <c r="J28" s="12"/>
      <c r="K28" s="11" t="s">
        <v>16</v>
      </c>
      <c r="L28" s="12"/>
      <c r="M28" s="12"/>
      <c r="N28" s="11" t="s">
        <v>16</v>
      </c>
      <c r="O28" s="11"/>
      <c r="P28" s="13"/>
      <c r="Q28" s="2" t="str">
        <f t="shared" si="2"/>
        <v>WORD VARCHAR(45) NOT NULL ,</v>
      </c>
      <c r="R28" s="14"/>
    </row>
    <row r="29" spans="1:18">
      <c r="A29" s="1" t="s">
        <v>2</v>
      </c>
      <c r="B29" s="8">
        <v>3</v>
      </c>
      <c r="C29" s="8" t="s">
        <v>81</v>
      </c>
      <c r="D29" s="8" t="s">
        <v>82</v>
      </c>
      <c r="E29" s="9">
        <v>3</v>
      </c>
      <c r="F29" s="10" t="s">
        <v>116</v>
      </c>
      <c r="G29" s="10" t="s">
        <v>117</v>
      </c>
      <c r="H29" s="11" t="s">
        <v>102</v>
      </c>
      <c r="I29" s="12"/>
      <c r="J29" s="12"/>
      <c r="K29" s="11" t="s">
        <v>16</v>
      </c>
      <c r="L29" s="12"/>
      <c r="M29" s="12"/>
      <c r="N29" s="11"/>
      <c r="O29" s="11"/>
      <c r="P29" s="13"/>
      <c r="Q29" s="2" t="str">
        <f t="shared" si="2"/>
        <v>CATEGORY_ID INT(4)  ,</v>
      </c>
      <c r="R29" s="14"/>
    </row>
    <row r="30" spans="1:18">
      <c r="A30" s="1" t="s">
        <v>2</v>
      </c>
      <c r="B30" s="8">
        <v>3</v>
      </c>
      <c r="C30" s="8" t="s">
        <v>81</v>
      </c>
      <c r="D30" s="8" t="s">
        <v>82</v>
      </c>
      <c r="E30" s="9">
        <v>4</v>
      </c>
      <c r="F30" s="10" t="s">
        <v>103</v>
      </c>
      <c r="G30" s="10" t="s">
        <v>105</v>
      </c>
      <c r="H30" s="11" t="s">
        <v>17</v>
      </c>
      <c r="I30" s="12"/>
      <c r="J30" s="12"/>
      <c r="K30" s="11" t="s">
        <v>16</v>
      </c>
      <c r="L30" s="12"/>
      <c r="M30" s="12"/>
      <c r="N30" s="11"/>
      <c r="O30" s="11"/>
      <c r="P30" s="13"/>
      <c r="Q30" s="2" t="str">
        <f t="shared" si="2"/>
        <v>TAGS VARCHAR(45)  ,</v>
      </c>
      <c r="R30" s="14"/>
    </row>
    <row r="31" spans="1:18">
      <c r="A31" s="1" t="s">
        <v>2</v>
      </c>
      <c r="B31" s="8">
        <v>3</v>
      </c>
      <c r="C31" s="8" t="s">
        <v>81</v>
      </c>
      <c r="D31" s="8" t="s">
        <v>82</v>
      </c>
      <c r="E31" s="9">
        <v>5</v>
      </c>
      <c r="F31" s="10" t="s">
        <v>97</v>
      </c>
      <c r="G31" s="10" t="s">
        <v>98</v>
      </c>
      <c r="H31" s="11" t="s">
        <v>99</v>
      </c>
      <c r="I31" s="12"/>
      <c r="J31" s="12"/>
      <c r="K31" s="12"/>
      <c r="L31" s="12"/>
      <c r="M31" s="12"/>
      <c r="N31" s="11"/>
      <c r="O31" s="11"/>
      <c r="P31" s="13"/>
      <c r="Q31" s="2" t="str">
        <f t="shared" si="2"/>
        <v>DELETE_FLG BOOLEAN  ,</v>
      </c>
      <c r="R31" s="14"/>
    </row>
    <row r="32" spans="1:18">
      <c r="A32" s="1" t="s">
        <v>2</v>
      </c>
      <c r="B32" s="8">
        <v>3</v>
      </c>
      <c r="C32" s="8" t="s">
        <v>81</v>
      </c>
      <c r="D32" s="8" t="s">
        <v>82</v>
      </c>
      <c r="E32" s="3" t="s">
        <v>18</v>
      </c>
      <c r="F32" s="3" t="s">
        <v>19</v>
      </c>
      <c r="G32" s="3" t="s">
        <v>20</v>
      </c>
      <c r="H32" s="15" t="s">
        <v>21</v>
      </c>
      <c r="I32" s="16" t="s">
        <v>22</v>
      </c>
      <c r="J32" s="16" t="s">
        <v>23</v>
      </c>
      <c r="K32" s="16" t="s">
        <v>15</v>
      </c>
      <c r="L32" s="15"/>
      <c r="M32" s="15"/>
      <c r="N32" s="16"/>
      <c r="O32" s="16"/>
      <c r="P32" s="13"/>
      <c r="Q32" s="14"/>
      <c r="R32" s="14"/>
    </row>
    <row r="33" spans="1:18">
      <c r="A33" s="1" t="s">
        <v>2</v>
      </c>
      <c r="B33" s="8">
        <v>3</v>
      </c>
      <c r="C33" s="8" t="s">
        <v>81</v>
      </c>
      <c r="D33" s="8" t="s">
        <v>82</v>
      </c>
      <c r="E33" s="8">
        <v>1</v>
      </c>
      <c r="F33" s="8" t="s">
        <v>24</v>
      </c>
      <c r="G33" s="8" t="s">
        <v>84</v>
      </c>
      <c r="H33" s="9"/>
      <c r="I33" s="10" t="s">
        <v>25</v>
      </c>
      <c r="J33" s="10" t="s">
        <v>25</v>
      </c>
      <c r="K33" s="11"/>
      <c r="L33" s="12"/>
      <c r="M33" s="12"/>
      <c r="N33" s="11"/>
      <c r="O33" s="11"/>
      <c r="P33" s="13"/>
      <c r="Q33" s="2" t="str">
        <f>IF(F33="PRIMARY","  PRIMARY KEY (" &amp; G33 &amp; ")","")</f>
        <v xml:space="preserve">  PRIMARY KEY (ID)</v>
      </c>
      <c r="R33" s="14"/>
    </row>
    <row r="34" spans="1:18">
      <c r="A34" s="1" t="s">
        <v>2</v>
      </c>
      <c r="Q34" s="2" t="str">
        <f>") ENGINE=InnoDB DEFAULT CHARSET=utf8 " &amp; IF(TRIM(C33)="","","COMMENT '" &amp; C33 &amp; "'") &amp;";"</f>
        <v>) ENGINE=InnoDB DEFAULT CHARSET=utf8 COMMENT 'ワードマスタ';</v>
      </c>
    </row>
    <row r="35" spans="1:18">
      <c r="Q35" s="2" t="str">
        <f>"DROP TABLE " &amp; $D37 &amp; ";"</f>
        <v>DROP TABLE T_COUNT;</v>
      </c>
    </row>
    <row r="36" spans="1:18">
      <c r="A36" s="1" t="s">
        <v>2</v>
      </c>
      <c r="B36" s="3"/>
      <c r="C36" s="3" t="s">
        <v>3</v>
      </c>
      <c r="D36" s="3" t="s">
        <v>4</v>
      </c>
      <c r="E36" s="4" t="s">
        <v>5</v>
      </c>
      <c r="F36" s="4" t="s">
        <v>6</v>
      </c>
      <c r="G36" s="4" t="s">
        <v>7</v>
      </c>
      <c r="H36" s="5" t="s">
        <v>8</v>
      </c>
      <c r="I36" s="5" t="s">
        <v>9</v>
      </c>
      <c r="J36" s="5" t="s">
        <v>10</v>
      </c>
      <c r="K36" s="5" t="s">
        <v>11</v>
      </c>
      <c r="L36" s="5" t="s">
        <v>12</v>
      </c>
      <c r="M36" s="5" t="s">
        <v>13</v>
      </c>
      <c r="N36" s="5" t="s">
        <v>14</v>
      </c>
      <c r="O36" s="5" t="s">
        <v>15</v>
      </c>
      <c r="P36" s="6"/>
      <c r="Q36" s="2" t="str">
        <f>"CREATE TABLE " &amp; $D37 &amp; " ("</f>
        <v>CREATE TABLE T_COUNT (</v>
      </c>
      <c r="R36" s="7"/>
    </row>
    <row r="37" spans="1:18">
      <c r="A37" s="1" t="s">
        <v>2</v>
      </c>
      <c r="B37" s="8">
        <v>4</v>
      </c>
      <c r="C37" s="8" t="s">
        <v>34</v>
      </c>
      <c r="D37" s="8" t="s">
        <v>33</v>
      </c>
      <c r="E37" s="9">
        <v>1</v>
      </c>
      <c r="F37" s="10" t="s">
        <v>35</v>
      </c>
      <c r="G37" s="10" t="s">
        <v>125</v>
      </c>
      <c r="H37" s="11" t="s">
        <v>129</v>
      </c>
      <c r="I37" s="12"/>
      <c r="J37" s="12"/>
      <c r="K37" s="11" t="s">
        <v>16</v>
      </c>
      <c r="L37" s="12"/>
      <c r="M37" s="12"/>
      <c r="N37" s="11" t="s">
        <v>16</v>
      </c>
      <c r="O37" s="11"/>
      <c r="P37" s="13"/>
      <c r="Q37" s="2" t="str">
        <f t="shared" ref="Q37:Q40" si="3">$G37 &amp; " " &amp; $H37 &amp; " " &amp; IF($N37="○","NOT NULL","") &amp; IF($B38="",""," ,")</f>
        <v>DATE DATE NOT NULL ,</v>
      </c>
      <c r="R37" s="14"/>
    </row>
    <row r="38" spans="1:18">
      <c r="A38" s="1" t="s">
        <v>2</v>
      </c>
      <c r="B38" s="8">
        <v>4</v>
      </c>
      <c r="C38" s="8" t="s">
        <v>34</v>
      </c>
      <c r="D38" s="8" t="s">
        <v>124</v>
      </c>
      <c r="E38" s="9">
        <v>2</v>
      </c>
      <c r="F38" s="10" t="s">
        <v>120</v>
      </c>
      <c r="G38" s="10" t="s">
        <v>126</v>
      </c>
      <c r="H38" s="11" t="s">
        <v>121</v>
      </c>
      <c r="I38" s="12"/>
      <c r="J38" s="12"/>
      <c r="K38" s="11" t="s">
        <v>16</v>
      </c>
      <c r="L38" s="12"/>
      <c r="M38" s="12"/>
      <c r="N38" s="11" t="s">
        <v>16</v>
      </c>
      <c r="O38" s="11"/>
      <c r="P38" s="13"/>
      <c r="Q38" s="2" t="str">
        <f t="shared" si="3"/>
        <v>WORD_ID INT(4) NOT NULL ,</v>
      </c>
      <c r="R38" s="14"/>
    </row>
    <row r="39" spans="1:18">
      <c r="A39" s="1" t="s">
        <v>2</v>
      </c>
      <c r="B39" s="8">
        <v>4</v>
      </c>
      <c r="C39" s="8" t="s">
        <v>34</v>
      </c>
      <c r="D39" s="8" t="s">
        <v>124</v>
      </c>
      <c r="E39" s="9">
        <v>3</v>
      </c>
      <c r="F39" s="10" t="s">
        <v>122</v>
      </c>
      <c r="G39" s="10" t="s">
        <v>123</v>
      </c>
      <c r="H39" s="11" t="s">
        <v>101</v>
      </c>
      <c r="I39" s="12"/>
      <c r="J39" s="12"/>
      <c r="K39" s="11" t="s">
        <v>16</v>
      </c>
      <c r="L39" s="12"/>
      <c r="M39" s="12"/>
      <c r="N39" s="11" t="s">
        <v>16</v>
      </c>
      <c r="O39" s="11"/>
      <c r="P39" s="13"/>
      <c r="Q39" s="2" t="str">
        <f t="shared" si="3"/>
        <v>SITE_ID INT(3) NOT NULL ,</v>
      </c>
      <c r="R39" s="14"/>
    </row>
    <row r="40" spans="1:18">
      <c r="A40" s="1" t="s">
        <v>2</v>
      </c>
      <c r="B40" s="8">
        <v>4</v>
      </c>
      <c r="C40" s="8" t="s">
        <v>34</v>
      </c>
      <c r="D40" s="8" t="s">
        <v>124</v>
      </c>
      <c r="E40" s="9">
        <v>4</v>
      </c>
      <c r="F40" s="10" t="s">
        <v>30</v>
      </c>
      <c r="G40" s="10" t="s">
        <v>29</v>
      </c>
      <c r="H40" s="11" t="s">
        <v>128</v>
      </c>
      <c r="I40" s="12"/>
      <c r="J40" s="12"/>
      <c r="K40" s="12"/>
      <c r="L40" s="12"/>
      <c r="M40" s="12"/>
      <c r="N40" s="11" t="s">
        <v>16</v>
      </c>
      <c r="O40" s="11"/>
      <c r="P40" s="13"/>
      <c r="Q40" s="2" t="str">
        <f t="shared" si="3"/>
        <v>COUNT INT(8) NOT NULL ,</v>
      </c>
      <c r="R40" s="14"/>
    </row>
    <row r="41" spans="1:18">
      <c r="A41" s="1" t="s">
        <v>2</v>
      </c>
      <c r="B41" s="8">
        <v>4</v>
      </c>
      <c r="C41" s="8" t="s">
        <v>34</v>
      </c>
      <c r="D41" s="8" t="s">
        <v>124</v>
      </c>
      <c r="E41" s="3" t="s">
        <v>18</v>
      </c>
      <c r="F41" s="3" t="s">
        <v>19</v>
      </c>
      <c r="G41" s="3" t="s">
        <v>20</v>
      </c>
      <c r="H41" s="15" t="s">
        <v>21</v>
      </c>
      <c r="I41" s="16" t="s">
        <v>22</v>
      </c>
      <c r="J41" s="16" t="s">
        <v>23</v>
      </c>
      <c r="K41" s="16" t="s">
        <v>15</v>
      </c>
      <c r="L41" s="15"/>
      <c r="M41" s="15"/>
      <c r="N41" s="16"/>
      <c r="O41" s="16"/>
      <c r="P41" s="13"/>
      <c r="Q41" s="14"/>
      <c r="R41" s="14"/>
    </row>
    <row r="42" spans="1:18">
      <c r="A42" s="1" t="s">
        <v>2</v>
      </c>
      <c r="B42" s="8">
        <v>4</v>
      </c>
      <c r="C42" s="8" t="s">
        <v>34</v>
      </c>
      <c r="D42" s="8" t="s">
        <v>124</v>
      </c>
      <c r="E42" s="8">
        <v>1</v>
      </c>
      <c r="F42" s="8" t="s">
        <v>24</v>
      </c>
      <c r="G42" s="8" t="s">
        <v>127</v>
      </c>
      <c r="H42" s="9"/>
      <c r="I42" s="10" t="s">
        <v>25</v>
      </c>
      <c r="J42" s="10" t="s">
        <v>25</v>
      </c>
      <c r="K42" s="11"/>
      <c r="L42" s="12"/>
      <c r="M42" s="12"/>
      <c r="N42" s="11"/>
      <c r="O42" s="11"/>
      <c r="P42" s="13"/>
      <c r="Q42" s="2" t="str">
        <f>IF(F42="PRIMARY","  PRIMARY KEY (" &amp; G42 &amp; ")","")</f>
        <v xml:space="preserve">  PRIMARY KEY (DATE,WORD_ID,SITE_ID)</v>
      </c>
      <c r="R42" s="14"/>
    </row>
    <row r="43" spans="1:18">
      <c r="A43" s="1" t="s">
        <v>2</v>
      </c>
      <c r="Q43" s="2" t="str">
        <f>") ENGINE=InnoDB DEFAULT CHARSET=utf8 " &amp; IF(TRIM(C42)="","","COMMENT '" &amp; C42 &amp; "'") &amp;";"</f>
        <v>) ENGINE=InnoDB DEFAULT CHARSET=utf8 COMMENT '件数テーブル';</v>
      </c>
    </row>
    <row r="44" spans="1:18">
      <c r="Q44" s="2" t="str">
        <f>"DROP TABLE " &amp; $D46 &amp; ";"</f>
        <v>DROP TABLE T_MONTHLY_COUNT;</v>
      </c>
    </row>
    <row r="45" spans="1:18">
      <c r="A45" s="1" t="s">
        <v>2</v>
      </c>
      <c r="B45" s="3"/>
      <c r="C45" s="3" t="s">
        <v>3</v>
      </c>
      <c r="D45" s="3" t="s">
        <v>4</v>
      </c>
      <c r="E45" s="4" t="s">
        <v>5</v>
      </c>
      <c r="F45" s="4" t="s">
        <v>6</v>
      </c>
      <c r="G45" s="4" t="s">
        <v>7</v>
      </c>
      <c r="H45" s="5" t="s">
        <v>8</v>
      </c>
      <c r="I45" s="5" t="s">
        <v>9</v>
      </c>
      <c r="J45" s="5" t="s">
        <v>10</v>
      </c>
      <c r="K45" s="5" t="s">
        <v>11</v>
      </c>
      <c r="L45" s="5" t="s">
        <v>12</v>
      </c>
      <c r="M45" s="5" t="s">
        <v>13</v>
      </c>
      <c r="N45" s="5" t="s">
        <v>14</v>
      </c>
      <c r="O45" s="5" t="s">
        <v>15</v>
      </c>
      <c r="P45" s="6"/>
      <c r="Q45" s="2" t="str">
        <f>"CREATE TABLE " &amp; $D46 &amp; " ("</f>
        <v>CREATE TABLE T_MONTHLY_COUNT (</v>
      </c>
      <c r="R45" s="7"/>
    </row>
    <row r="46" spans="1:18">
      <c r="A46" s="1" t="s">
        <v>2</v>
      </c>
      <c r="B46" s="8">
        <v>5</v>
      </c>
      <c r="C46" s="8" t="s">
        <v>378</v>
      </c>
      <c r="D46" s="8" t="s">
        <v>380</v>
      </c>
      <c r="E46" s="9">
        <v>1</v>
      </c>
      <c r="F46" s="10" t="s">
        <v>35</v>
      </c>
      <c r="G46" s="10" t="s">
        <v>382</v>
      </c>
      <c r="H46" s="11" t="s">
        <v>381</v>
      </c>
      <c r="I46" s="12"/>
      <c r="J46" s="12"/>
      <c r="K46" s="11" t="s">
        <v>16</v>
      </c>
      <c r="L46" s="12"/>
      <c r="M46" s="12"/>
      <c r="N46" s="11" t="s">
        <v>16</v>
      </c>
      <c r="O46" s="11"/>
      <c r="P46" s="13"/>
      <c r="Q46" s="2" t="str">
        <f t="shared" ref="Q46:Q48" si="4">$G46 &amp; " " &amp; $H46 &amp; " " &amp; IF($N46="○","NOT NULL","") &amp; IF($B47="",""," ,")</f>
        <v>YYYYMM INT(6) NOT NULL ,</v>
      </c>
      <c r="R46" s="14"/>
    </row>
    <row r="47" spans="1:18">
      <c r="A47" s="1" t="s">
        <v>2</v>
      </c>
      <c r="B47" s="8">
        <v>5</v>
      </c>
      <c r="C47" s="8" t="s">
        <v>378</v>
      </c>
      <c r="D47" s="8" t="s">
        <v>379</v>
      </c>
      <c r="E47" s="9">
        <v>2</v>
      </c>
      <c r="F47" s="10" t="s">
        <v>120</v>
      </c>
      <c r="G47" s="10" t="s">
        <v>126</v>
      </c>
      <c r="H47" s="11" t="s">
        <v>102</v>
      </c>
      <c r="I47" s="12"/>
      <c r="J47" s="12"/>
      <c r="K47" s="11" t="s">
        <v>16</v>
      </c>
      <c r="L47" s="12"/>
      <c r="M47" s="12"/>
      <c r="N47" s="11" t="s">
        <v>16</v>
      </c>
      <c r="O47" s="11"/>
      <c r="P47" s="13"/>
      <c r="Q47" s="2" t="str">
        <f t="shared" si="4"/>
        <v>WORD_ID INT(4) NOT NULL ,</v>
      </c>
      <c r="R47" s="14"/>
    </row>
    <row r="48" spans="1:18">
      <c r="A48" s="1" t="s">
        <v>2</v>
      </c>
      <c r="B48" s="8">
        <v>5</v>
      </c>
      <c r="C48" s="8" t="s">
        <v>378</v>
      </c>
      <c r="D48" s="8" t="s">
        <v>379</v>
      </c>
      <c r="E48" s="9">
        <v>3</v>
      </c>
      <c r="F48" s="10" t="s">
        <v>122</v>
      </c>
      <c r="G48" s="10" t="s">
        <v>123</v>
      </c>
      <c r="H48" s="11" t="s">
        <v>101</v>
      </c>
      <c r="I48" s="12"/>
      <c r="J48" s="12"/>
      <c r="K48" s="11" t="s">
        <v>16</v>
      </c>
      <c r="L48" s="12"/>
      <c r="M48" s="12"/>
      <c r="N48" s="11" t="s">
        <v>16</v>
      </c>
      <c r="O48" s="11"/>
      <c r="P48" s="13"/>
      <c r="Q48" s="2" t="str">
        <f t="shared" si="4"/>
        <v>SITE_ID INT(3) NOT NULL ,</v>
      </c>
      <c r="R48" s="14"/>
    </row>
    <row r="49" spans="1:18">
      <c r="A49" s="1" t="s">
        <v>2</v>
      </c>
      <c r="B49" s="8">
        <v>5</v>
      </c>
      <c r="C49" s="8" t="s">
        <v>378</v>
      </c>
      <c r="D49" s="8" t="s">
        <v>379</v>
      </c>
      <c r="E49" s="9">
        <v>4</v>
      </c>
      <c r="F49" s="10" t="s">
        <v>384</v>
      </c>
      <c r="G49" s="10" t="s">
        <v>389</v>
      </c>
      <c r="H49" s="11" t="s">
        <v>128</v>
      </c>
      <c r="I49" s="12"/>
      <c r="J49" s="12"/>
      <c r="K49" s="12"/>
      <c r="L49" s="12"/>
      <c r="M49" s="12"/>
      <c r="N49" s="11" t="s">
        <v>16</v>
      </c>
      <c r="O49" s="11"/>
      <c r="P49" s="13"/>
      <c r="Q49" s="2" t="str">
        <f>$G49 &amp; " " &amp; $H49 &amp; " " &amp; IF($N49="○","NOT NULL","") &amp; IF($B50="",""," ,")</f>
        <v>AVG_COUNT INT(8) NOT NULL ,</v>
      </c>
      <c r="R49" s="14"/>
    </row>
    <row r="50" spans="1:18">
      <c r="A50" s="1" t="s">
        <v>2</v>
      </c>
      <c r="B50" s="8">
        <v>5</v>
      </c>
      <c r="C50" s="8" t="s">
        <v>378</v>
      </c>
      <c r="D50" s="8" t="s">
        <v>379</v>
      </c>
      <c r="E50" s="9">
        <v>5</v>
      </c>
      <c r="F50" s="10" t="s">
        <v>385</v>
      </c>
      <c r="G50" s="10" t="s">
        <v>388</v>
      </c>
      <c r="H50" s="11" t="s">
        <v>128</v>
      </c>
      <c r="I50" s="12"/>
      <c r="J50" s="12"/>
      <c r="K50" s="12"/>
      <c r="L50" s="12"/>
      <c r="M50" s="12"/>
      <c r="N50" s="11" t="s">
        <v>16</v>
      </c>
      <c r="O50" s="11"/>
      <c r="P50" s="13"/>
      <c r="Q50" s="2" t="str">
        <f t="shared" ref="Q50:Q54" si="5">$G50 &amp; " " &amp; $H50 &amp; " " &amp; IF($N50="○","NOT NULL","") &amp; IF($B51="",""," ,")</f>
        <v>MAX_COUNT INT(8) NOT NULL ,</v>
      </c>
      <c r="R50" s="14"/>
    </row>
    <row r="51" spans="1:18">
      <c r="A51" s="1" t="s">
        <v>2</v>
      </c>
      <c r="B51" s="8">
        <v>5</v>
      </c>
      <c r="C51" s="8" t="s">
        <v>378</v>
      </c>
      <c r="D51" s="8" t="s">
        <v>379</v>
      </c>
      <c r="E51" s="9">
        <v>6</v>
      </c>
      <c r="F51" s="10" t="s">
        <v>386</v>
      </c>
      <c r="G51" s="10" t="s">
        <v>387</v>
      </c>
      <c r="H51" s="11" t="s">
        <v>128</v>
      </c>
      <c r="I51" s="12"/>
      <c r="J51" s="12"/>
      <c r="K51" s="12"/>
      <c r="L51" s="12"/>
      <c r="M51" s="12"/>
      <c r="N51" s="11" t="s">
        <v>16</v>
      </c>
      <c r="O51" s="11"/>
      <c r="P51" s="13"/>
      <c r="Q51" s="2" t="str">
        <f t="shared" si="5"/>
        <v>MIN_COUNT INT(8) NOT NULL ,</v>
      </c>
      <c r="R51" s="14"/>
    </row>
    <row r="52" spans="1:18">
      <c r="A52" s="1" t="s">
        <v>2</v>
      </c>
      <c r="B52" s="8">
        <v>5</v>
      </c>
      <c r="C52" s="8" t="s">
        <v>378</v>
      </c>
      <c r="D52" s="8" t="s">
        <v>379</v>
      </c>
      <c r="E52" s="9">
        <v>7</v>
      </c>
      <c r="F52" s="10" t="s">
        <v>391</v>
      </c>
      <c r="G52" s="10" t="s">
        <v>390</v>
      </c>
      <c r="H52" s="11" t="s">
        <v>128</v>
      </c>
      <c r="I52" s="12"/>
      <c r="J52" s="12"/>
      <c r="K52" s="12"/>
      <c r="L52" s="12"/>
      <c r="M52" s="12"/>
      <c r="N52" s="11" t="s">
        <v>16</v>
      </c>
      <c r="O52" s="11"/>
      <c r="P52" s="13"/>
      <c r="Q52" s="2" t="str">
        <f t="shared" si="5"/>
        <v>TOTAL_COUNT INT(8) NOT NULL ,</v>
      </c>
      <c r="R52" s="14"/>
    </row>
    <row r="53" spans="1:18">
      <c r="A53" s="1" t="s">
        <v>2</v>
      </c>
      <c r="B53" s="8">
        <v>5</v>
      </c>
      <c r="C53" s="8" t="s">
        <v>378</v>
      </c>
      <c r="D53" s="8" t="s">
        <v>379</v>
      </c>
      <c r="E53" s="9">
        <v>8</v>
      </c>
      <c r="F53" s="10" t="s">
        <v>393</v>
      </c>
      <c r="G53" s="10" t="s">
        <v>392</v>
      </c>
      <c r="H53" s="11" t="s">
        <v>118</v>
      </c>
      <c r="I53" s="12"/>
      <c r="J53" s="12"/>
      <c r="K53" s="12"/>
      <c r="L53" s="12"/>
      <c r="M53" s="12"/>
      <c r="N53" s="11" t="s">
        <v>16</v>
      </c>
      <c r="O53" s="11"/>
      <c r="P53" s="13"/>
      <c r="Q53" s="2" t="str">
        <f t="shared" si="5"/>
        <v>DAYS INT(2) NOT NULL ,</v>
      </c>
      <c r="R53" s="14"/>
    </row>
    <row r="54" spans="1:18">
      <c r="A54" s="1" t="s">
        <v>2</v>
      </c>
      <c r="B54" s="8">
        <v>5</v>
      </c>
      <c r="C54" s="8" t="s">
        <v>378</v>
      </c>
      <c r="D54" s="8" t="s">
        <v>379</v>
      </c>
      <c r="E54" s="9">
        <v>9</v>
      </c>
      <c r="F54" s="10" t="s">
        <v>394</v>
      </c>
      <c r="G54" s="10" t="s">
        <v>395</v>
      </c>
      <c r="H54" s="11" t="s">
        <v>118</v>
      </c>
      <c r="I54" s="12"/>
      <c r="J54" s="12"/>
      <c r="K54" s="12"/>
      <c r="L54" s="12"/>
      <c r="M54" s="12"/>
      <c r="N54" s="11" t="s">
        <v>16</v>
      </c>
      <c r="O54" s="11"/>
      <c r="P54" s="13"/>
      <c r="Q54" s="2" t="str">
        <f t="shared" si="5"/>
        <v>COUNT_DAYS INT(2) NOT NULL ,</v>
      </c>
      <c r="R54" s="14"/>
    </row>
    <row r="55" spans="1:18">
      <c r="A55" s="1" t="s">
        <v>2</v>
      </c>
      <c r="B55" s="8">
        <v>5</v>
      </c>
      <c r="C55" s="8" t="s">
        <v>378</v>
      </c>
      <c r="D55" s="8" t="s">
        <v>379</v>
      </c>
      <c r="E55" s="3" t="s">
        <v>18</v>
      </c>
      <c r="F55" s="3" t="s">
        <v>19</v>
      </c>
      <c r="G55" s="3" t="s">
        <v>20</v>
      </c>
      <c r="H55" s="15" t="s">
        <v>21</v>
      </c>
      <c r="I55" s="16" t="s">
        <v>22</v>
      </c>
      <c r="J55" s="16" t="s">
        <v>23</v>
      </c>
      <c r="K55" s="16" t="s">
        <v>15</v>
      </c>
      <c r="L55" s="15"/>
      <c r="M55" s="15"/>
      <c r="N55" s="16"/>
      <c r="O55" s="16"/>
      <c r="P55" s="13"/>
      <c r="Q55" s="14"/>
      <c r="R55" s="14"/>
    </row>
    <row r="56" spans="1:18">
      <c r="A56" s="1" t="s">
        <v>2</v>
      </c>
      <c r="B56" s="8">
        <v>5</v>
      </c>
      <c r="C56" s="8" t="s">
        <v>378</v>
      </c>
      <c r="D56" s="8" t="s">
        <v>379</v>
      </c>
      <c r="E56" s="8">
        <v>1</v>
      </c>
      <c r="F56" s="8" t="s">
        <v>24</v>
      </c>
      <c r="G56" s="8" t="s">
        <v>383</v>
      </c>
      <c r="H56" s="9"/>
      <c r="I56" s="10" t="s">
        <v>25</v>
      </c>
      <c r="J56" s="10" t="s">
        <v>25</v>
      </c>
      <c r="K56" s="11"/>
      <c r="L56" s="12"/>
      <c r="M56" s="12"/>
      <c r="N56" s="11"/>
      <c r="O56" s="11"/>
      <c r="P56" s="13"/>
      <c r="Q56" s="2" t="str">
        <f>IF(F56="PRIMARY","  PRIMARY KEY (" &amp; G56 &amp; ")","")</f>
        <v xml:space="preserve">  PRIMARY KEY (YYYYMM,WORD_ID,SITE_ID)</v>
      </c>
      <c r="R56" s="14"/>
    </row>
    <row r="57" spans="1:18">
      <c r="A57" s="1" t="s">
        <v>2</v>
      </c>
      <c r="Q57" s="2" t="str">
        <f>") ENGINE=InnoDB DEFAULT CHARSET=utf8 " &amp; IF(TRIM(C56)="","","COMMENT '" &amp; C56 &amp; "'") &amp;";"</f>
        <v>) ENGINE=InnoDB DEFAULT CHARSET=utf8 COMMENT '月別件数テーブル';</v>
      </c>
    </row>
  </sheetData>
  <autoFilter ref="A4:D16"/>
  <phoneticPr fontId="3"/>
  <conditionalFormatting sqref="B5:D5 B9:D11 B15:D15 B28:D28 C29:D30 B20:D20 D22:D23 B38:D38 B56:D56 B48:D51">
    <cfRule type="expression" dxfId="32" priority="62">
      <formula>B4=B5</formula>
    </cfRule>
  </conditionalFormatting>
  <conditionalFormatting sqref="E15:G15">
    <cfRule type="expression" dxfId="31" priority="63">
      <formula>E14=E15</formula>
    </cfRule>
  </conditionalFormatting>
  <conditionalFormatting sqref="E14:G14">
    <cfRule type="expression" dxfId="30" priority="64">
      <formula>#REF!=E14</formula>
    </cfRule>
  </conditionalFormatting>
  <conditionalFormatting sqref="B8:D8">
    <cfRule type="expression" dxfId="29" priority="67">
      <formula>B5=B8</formula>
    </cfRule>
  </conditionalFormatting>
  <conditionalFormatting sqref="B6:D6">
    <cfRule type="expression" dxfId="28" priority="38">
      <formula>B5=B6</formula>
    </cfRule>
  </conditionalFormatting>
  <conditionalFormatting sqref="B27:D27">
    <cfRule type="expression" dxfId="27" priority="34">
      <formula>B26=B27</formula>
    </cfRule>
  </conditionalFormatting>
  <conditionalFormatting sqref="E33:F33">
    <cfRule type="expression" dxfId="26" priority="35">
      <formula>E32=E33</formula>
    </cfRule>
  </conditionalFormatting>
  <conditionalFormatting sqref="E32:G32">
    <cfRule type="expression" dxfId="25" priority="36">
      <formula>#REF!=E32</formula>
    </cfRule>
  </conditionalFormatting>
  <conditionalFormatting sqref="B37:D37">
    <cfRule type="expression" dxfId="24" priority="29">
      <formula>B36=B37</formula>
    </cfRule>
  </conditionalFormatting>
  <conditionalFormatting sqref="E42:G42">
    <cfRule type="expression" dxfId="23" priority="30">
      <formula>E41=E42</formula>
    </cfRule>
  </conditionalFormatting>
  <conditionalFormatting sqref="E41:G41">
    <cfRule type="expression" dxfId="22" priority="31">
      <formula>#REF!=E41</formula>
    </cfRule>
  </conditionalFormatting>
  <conditionalFormatting sqref="B12:D12">
    <cfRule type="expression" dxfId="21" priority="25">
      <formula>B11=B12</formula>
    </cfRule>
  </conditionalFormatting>
  <conditionalFormatting sqref="B14:D14">
    <cfRule type="expression" dxfId="20" priority="68">
      <formula>B11=B14</formula>
    </cfRule>
  </conditionalFormatting>
  <conditionalFormatting sqref="B13:D13">
    <cfRule type="expression" dxfId="19" priority="24">
      <formula>B12=B13</formula>
    </cfRule>
  </conditionalFormatting>
  <conditionalFormatting sqref="C31:D33">
    <cfRule type="expression" dxfId="18" priority="23">
      <formula>C30=C31</formula>
    </cfRule>
  </conditionalFormatting>
  <conditionalFormatting sqref="G33">
    <cfRule type="expression" dxfId="17" priority="22">
      <formula>G32=G33</formula>
    </cfRule>
  </conditionalFormatting>
  <conditionalFormatting sqref="B19:D19">
    <cfRule type="expression" dxfId="16" priority="18">
      <formula>B18=B19</formula>
    </cfRule>
  </conditionalFormatting>
  <conditionalFormatting sqref="E23:F23">
    <cfRule type="expression" dxfId="15" priority="19">
      <formula>E22=E23</formula>
    </cfRule>
  </conditionalFormatting>
  <conditionalFormatting sqref="E22:G22">
    <cfRule type="expression" dxfId="14" priority="20">
      <formula>#REF!=E22</formula>
    </cfRule>
  </conditionalFormatting>
  <conditionalFormatting sqref="G23">
    <cfRule type="expression" dxfId="13" priority="16">
      <formula>G22=G23</formula>
    </cfRule>
  </conditionalFormatting>
  <conditionalFormatting sqref="B29:B33">
    <cfRule type="expression" dxfId="12" priority="15">
      <formula>B28=B29</formula>
    </cfRule>
  </conditionalFormatting>
  <conditionalFormatting sqref="B21:C23">
    <cfRule type="expression" dxfId="11" priority="13">
      <formula>B20=B21</formula>
    </cfRule>
  </conditionalFormatting>
  <conditionalFormatting sqref="D21">
    <cfRule type="expression" dxfId="10" priority="12">
      <formula>D20=D21</formula>
    </cfRule>
  </conditionalFormatting>
  <conditionalFormatting sqref="B39:D42">
    <cfRule type="expression" dxfId="9" priority="11">
      <formula>B38=B39</formula>
    </cfRule>
  </conditionalFormatting>
  <conditionalFormatting sqref="B7:D7">
    <cfRule type="expression" dxfId="8" priority="9">
      <formula>B6=B7</formula>
    </cfRule>
  </conditionalFormatting>
  <conditionalFormatting sqref="B47:D47">
    <cfRule type="expression" dxfId="7" priority="8">
      <formula>B46=B47</formula>
    </cfRule>
  </conditionalFormatting>
  <conditionalFormatting sqref="B46:D46">
    <cfRule type="expression" dxfId="6" priority="5">
      <formula>B45=B46</formula>
    </cfRule>
  </conditionalFormatting>
  <conditionalFormatting sqref="E56:G56">
    <cfRule type="expression" dxfId="5" priority="6">
      <formula>E55=E56</formula>
    </cfRule>
  </conditionalFormatting>
  <conditionalFormatting sqref="E55:G55">
    <cfRule type="expression" dxfId="4" priority="7">
      <formula>#REF!=E55</formula>
    </cfRule>
  </conditionalFormatting>
  <conditionalFormatting sqref="B55:D55">
    <cfRule type="expression" dxfId="3" priority="70">
      <formula>B49=B55</formula>
    </cfRule>
  </conditionalFormatting>
  <conditionalFormatting sqref="B54:D54">
    <cfRule type="expression" dxfId="2" priority="72">
      <formula>B51=B54</formula>
    </cfRule>
  </conditionalFormatting>
  <conditionalFormatting sqref="B52:D52">
    <cfRule type="expression" dxfId="1" priority="2">
      <formula>B50=B52</formula>
    </cfRule>
  </conditionalFormatting>
  <conditionalFormatting sqref="B53:D53">
    <cfRule type="expression" dxfId="0" priority="1">
      <formula>B51=B53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4"/>
  <sheetViews>
    <sheetView zoomScale="85" zoomScaleNormal="85" workbookViewId="0">
      <selection activeCell="N26" sqref="N26"/>
    </sheetView>
  </sheetViews>
  <sheetFormatPr defaultRowHeight="13.5"/>
  <cols>
    <col min="2" max="2" width="9" style="18"/>
    <col min="3" max="3" width="10.5" style="18" bestFit="1" customWidth="1"/>
    <col min="4" max="4" width="12.625" style="18" customWidth="1"/>
    <col min="5" max="11" width="9" style="18"/>
    <col min="12" max="12" width="4" customWidth="1"/>
    <col min="13" max="13" width="28.25" bestFit="1" customWidth="1"/>
    <col min="14" max="14" width="33.875" bestFit="1" customWidth="1"/>
    <col min="15" max="15" width="49.375" customWidth="1"/>
  </cols>
  <sheetData>
    <row r="1" spans="1:17">
      <c r="M1" s="18"/>
      <c r="N1" s="18"/>
      <c r="O1" s="18"/>
      <c r="P1" s="18"/>
      <c r="Q1" s="18"/>
    </row>
    <row r="2" spans="1:17" s="40" customFormat="1">
      <c r="B2" s="41" t="s">
        <v>5</v>
      </c>
      <c r="C2" s="42">
        <v>1</v>
      </c>
      <c r="D2" s="42">
        <v>2</v>
      </c>
      <c r="E2" s="42">
        <v>3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3"/>
      <c r="M2" s="43"/>
      <c r="N2" s="43"/>
      <c r="O2" s="43"/>
      <c r="P2" s="43"/>
      <c r="Q2" s="43"/>
    </row>
    <row r="3" spans="1:17" s="40" customFormat="1">
      <c r="B3" s="41" t="s">
        <v>6</v>
      </c>
      <c r="C3" s="42" t="s">
        <v>83</v>
      </c>
      <c r="D3" s="42" t="s">
        <v>31</v>
      </c>
      <c r="E3" s="42" t="s">
        <v>85</v>
      </c>
      <c r="F3" s="42" t="s">
        <v>86</v>
      </c>
      <c r="G3" s="42" t="s">
        <v>90</v>
      </c>
      <c r="H3" s="42" t="s">
        <v>92</v>
      </c>
      <c r="I3" s="42" t="s">
        <v>95</v>
      </c>
      <c r="J3" s="42" t="s">
        <v>97</v>
      </c>
      <c r="K3" s="43"/>
      <c r="M3" s="43"/>
      <c r="N3" s="43"/>
      <c r="O3" s="43"/>
      <c r="P3" s="43"/>
    </row>
    <row r="4" spans="1:17" s="40" customFormat="1">
      <c r="B4" s="41" t="s">
        <v>7</v>
      </c>
      <c r="C4" s="42" t="s">
        <v>83</v>
      </c>
      <c r="D4" s="42" t="s">
        <v>32</v>
      </c>
      <c r="E4" s="42" t="s">
        <v>85</v>
      </c>
      <c r="F4" s="42" t="s">
        <v>89</v>
      </c>
      <c r="G4" s="42" t="s">
        <v>91</v>
      </c>
      <c r="H4" s="42" t="s">
        <v>93</v>
      </c>
      <c r="I4" s="42" t="s">
        <v>96</v>
      </c>
      <c r="J4" s="42" t="s">
        <v>98</v>
      </c>
      <c r="K4" s="43"/>
    </row>
    <row r="5" spans="1:17" s="40" customFormat="1">
      <c r="B5" s="41" t="s">
        <v>8</v>
      </c>
      <c r="C5" s="42" t="s">
        <v>101</v>
      </c>
      <c r="D5" s="42" t="s">
        <v>17</v>
      </c>
      <c r="E5" s="42" t="s">
        <v>87</v>
      </c>
      <c r="F5" s="42" t="s">
        <v>88</v>
      </c>
      <c r="G5" s="42" t="s">
        <v>87</v>
      </c>
      <c r="H5" s="42" t="s">
        <v>94</v>
      </c>
      <c r="I5" s="42" t="s">
        <v>94</v>
      </c>
      <c r="J5" s="42" t="s">
        <v>99</v>
      </c>
      <c r="K5" s="43"/>
      <c r="M5" s="43" t="s">
        <v>106</v>
      </c>
      <c r="N5" s="43" t="s">
        <v>107</v>
      </c>
    </row>
    <row r="6" spans="1:17" s="40" customFormat="1">
      <c r="A6" s="37" t="s">
        <v>343</v>
      </c>
      <c r="B6" s="44" t="s">
        <v>109</v>
      </c>
      <c r="C6" s="44">
        <v>1</v>
      </c>
      <c r="D6" s="44" t="s">
        <v>273</v>
      </c>
      <c r="E6" s="44" t="s">
        <v>277</v>
      </c>
      <c r="F6" s="44" t="s">
        <v>274</v>
      </c>
      <c r="G6" s="45" t="s">
        <v>276</v>
      </c>
      <c r="H6" s="44" t="s">
        <v>275</v>
      </c>
      <c r="I6" s="44"/>
      <c r="J6" s="44" t="b">
        <v>0</v>
      </c>
      <c r="K6" s="43"/>
      <c r="L6" s="40">
        <v>1</v>
      </c>
      <c r="M6" s="43" t="str">
        <f>"DELETE FROM " &amp; $B6 &amp; " WHERE ID = " &amp; C6 &amp; ";"</f>
        <v>DELETE FROM M_SITE WHERE ID = 1;</v>
      </c>
      <c r="N6" s="43" t="str">
        <f>"INSERT INTO " &amp; $B6 &amp; " VALUES("</f>
        <v>INSERT INTO M_SITE VALUES(</v>
      </c>
      <c r="O6" s="43" t="str">
        <f xml:space="preserve"> IF(IFERROR(FIND("VAR",C$5),0)&gt;0,""""&amp; C6 &amp; """",C6) &amp; "," &amp; IF(IFERROR(FIND("VAR",D$5),0)&gt;0,""""&amp; D6 &amp; """",D6) &amp; "," &amp; IF(IFERROR(FIND("VAR",E$5),0)&gt;0,""""&amp; E6 &amp; """",E6) &amp; "," &amp;  IF(IFERROR(FIND("VAR",F$5),0)&gt;0,""""&amp; F6 &amp; """",F6)&amp; "," &amp;  IF(IFERROR(FIND("VAR",G$5),0)&gt;0,""""&amp; G6 &amp; """",G6) &amp; "," &amp; IF(IFERROR(FIND("VAR",H$5),0)&gt;0,""""&amp; H6 &amp; """",H6) &amp; "," &amp;  IF(IFERROR(FIND("VAR",I$5),0)&gt;0,""""&amp; I6 &amp; """",G6) &amp; "," &amp; IF(IFERROR(FIND("VAR",J$5),0)&gt;0,""""&amp; J6 &amp; """",J6)</f>
        <v>1,"en-japan","https://employment.en-japan.com/search/search_list/?keywordtext=[word]","GET","\&lt;em\&gt;[0-9]*\&lt;\/em\&gt;","hit","",FALSE</v>
      </c>
      <c r="P6" s="43" t="s">
        <v>108</v>
      </c>
      <c r="Q6" s="43"/>
    </row>
    <row r="7" spans="1:17" s="40" customFormat="1">
      <c r="A7" s="38" t="s">
        <v>343</v>
      </c>
      <c r="B7" s="44" t="s">
        <v>109</v>
      </c>
      <c r="C7" s="44">
        <v>2</v>
      </c>
      <c r="D7" s="44" t="s">
        <v>278</v>
      </c>
      <c r="E7" s="44" t="s">
        <v>282</v>
      </c>
      <c r="F7" s="44" t="s">
        <v>279</v>
      </c>
      <c r="G7" s="45" t="s">
        <v>281</v>
      </c>
      <c r="H7" s="44" t="s">
        <v>275</v>
      </c>
      <c r="I7" s="44" t="s">
        <v>280</v>
      </c>
      <c r="J7" s="44" t="b">
        <v>0</v>
      </c>
      <c r="K7" s="43"/>
      <c r="L7" s="40">
        <v>2</v>
      </c>
      <c r="M7" s="43" t="str">
        <f t="shared" ref="M7:M12" si="0">"DELETE FROM " &amp; $B7 &amp; " WHERE ID = " &amp; C7 &amp; ";"</f>
        <v>DELETE FROM M_SITE WHERE ID = 2;</v>
      </c>
      <c r="N7" s="43" t="str">
        <f t="shared" ref="N7:N21" si="1">"INSERT INTO " &amp; $B7 &amp; " VALUES("</f>
        <v>INSERT INTO M_SITE VALUES(</v>
      </c>
      <c r="O7" s="43" t="str">
        <f t="shared" ref="O7:O12" si="2" xml:space="preserve"> IF(IFERROR(FIND("VAR",C$5),0)&gt;0,""""&amp; C7 &amp; """",C7) &amp; "," &amp; IF(IFERROR(FIND("VAR",D$5),0)&gt;0,""""&amp; D7 &amp; """",D7) &amp; "," &amp; IF(IFERROR(FIND("VAR",E$5),0)&gt;0,""""&amp; E7 &amp; """",E7) &amp; "," &amp;  IF(IFERROR(FIND("VAR",F$5),0)&gt;0,""""&amp; F7 &amp; """",F7)&amp; "," &amp;  IF(IFERROR(FIND("VAR",G$5),0)&gt;0,""""&amp; G7 &amp; """",G7) &amp; "," &amp; IF(IFERROR(FIND("VAR",H$5),0)&gt;0,""""&amp; H7 &amp; """",H7) &amp; "," &amp;  IF(IFERROR(FIND("VAR",I$5),0)&gt;0,""""&amp; I7 &amp; """",G7) &amp; "," &amp; IF(IFERROR(FIND("VAR",J$5),0)&gt;0,""""&amp; J7 &amp; """",J7)</f>
        <v>2,"rikunabi","http://next.rikunabi.com/rnc/docs/cp_s00890.jsp?f=cp_s00010&amp;__m=1","POST","\&lt;span class=\"hit_number\"\&gt;.*?\&lt;\/span\&gt;","hit","keyword",FALSE</v>
      </c>
      <c r="P7" s="43" t="s">
        <v>108</v>
      </c>
    </row>
    <row r="8" spans="1:17" s="40" customFormat="1">
      <c r="A8" s="38" t="s">
        <v>343</v>
      </c>
      <c r="B8" s="44" t="s">
        <v>80</v>
      </c>
      <c r="C8" s="44">
        <v>3</v>
      </c>
      <c r="D8" s="44" t="s">
        <v>283</v>
      </c>
      <c r="E8" s="44" t="s">
        <v>286</v>
      </c>
      <c r="F8" s="44" t="s">
        <v>279</v>
      </c>
      <c r="G8" s="45" t="s">
        <v>285</v>
      </c>
      <c r="H8" s="44" t="s">
        <v>275</v>
      </c>
      <c r="I8" s="44" t="s">
        <v>284</v>
      </c>
      <c r="J8" s="44" t="b">
        <v>0</v>
      </c>
      <c r="K8" s="43"/>
      <c r="L8" s="40">
        <v>3</v>
      </c>
      <c r="M8" s="43" t="str">
        <f t="shared" si="0"/>
        <v>DELETE FROM M_SITE WHERE ID = 3;</v>
      </c>
      <c r="N8" s="43" t="str">
        <f t="shared" si="1"/>
        <v>INSERT INTO M_SITE VALUES(</v>
      </c>
      <c r="O8" s="43" t="str">
        <f t="shared" si="2"/>
        <v>3,"mynavi","http://tenshoku.mynavi.jp/jobsearch/index.cfm?fuseaction=mrjh_listSearchresults_form&amp;jobsearch_flg=16&amp;search_flg=20","POST","\&lt;span\&gt;[0-9]*\&lt;","hit","sr_free_search_keyword",FALSE</v>
      </c>
      <c r="P8" s="43" t="s">
        <v>108</v>
      </c>
    </row>
    <row r="9" spans="1:17" s="40" customFormat="1">
      <c r="A9" s="38" t="s">
        <v>343</v>
      </c>
      <c r="B9" s="44" t="s">
        <v>80</v>
      </c>
      <c r="C9" s="44">
        <v>4</v>
      </c>
      <c r="D9" s="44" t="s">
        <v>287</v>
      </c>
      <c r="E9" s="44" t="s">
        <v>289</v>
      </c>
      <c r="F9" s="44" t="s">
        <v>274</v>
      </c>
      <c r="G9" s="45" t="s">
        <v>288</v>
      </c>
      <c r="H9" s="44" t="s">
        <v>275</v>
      </c>
      <c r="I9" s="44"/>
      <c r="J9" s="44" t="b">
        <v>0</v>
      </c>
      <c r="K9" s="43"/>
      <c r="L9" s="40">
        <v>4</v>
      </c>
      <c r="M9" s="43" t="str">
        <f t="shared" si="0"/>
        <v>DELETE FROM M_SITE WHERE ID = 4;</v>
      </c>
      <c r="N9" s="43" t="str">
        <f t="shared" si="1"/>
        <v>INSERT INTO M_SITE VALUES(</v>
      </c>
      <c r="O9" s="43" t="str">
        <f t="shared" si="2"/>
        <v>4,"type","http://type.jp/job/search_company_name.do?pathway=5&amp;keyword=[word]","GET","\&lt;span class=\"num\"\&gt;[0-9]*\&lt;\/span\&gt;","hit","",FALSE</v>
      </c>
      <c r="P9" s="43" t="s">
        <v>108</v>
      </c>
    </row>
    <row r="10" spans="1:17" s="40" customFormat="1">
      <c r="A10" s="38" t="s">
        <v>343</v>
      </c>
      <c r="B10" s="44" t="s">
        <v>80</v>
      </c>
      <c r="C10" s="44">
        <v>5</v>
      </c>
      <c r="D10" s="44" t="s">
        <v>290</v>
      </c>
      <c r="E10" s="44" t="s">
        <v>292</v>
      </c>
      <c r="F10" s="44" t="s">
        <v>274</v>
      </c>
      <c r="G10" s="45" t="s">
        <v>291</v>
      </c>
      <c r="H10" s="44" t="s">
        <v>275</v>
      </c>
      <c r="I10" s="44"/>
      <c r="J10" s="44" t="b">
        <v>0</v>
      </c>
      <c r="K10" s="43"/>
      <c r="L10" s="40">
        <v>5</v>
      </c>
      <c r="M10" s="43" t="str">
        <f t="shared" si="0"/>
        <v>DELETE FROM M_SITE WHERE ID = 5;</v>
      </c>
      <c r="N10" s="43" t="str">
        <f t="shared" si="1"/>
        <v>INSERT INTO M_SITE VALUES(</v>
      </c>
      <c r="O10" s="43" t="str">
        <f t="shared" si="2"/>
        <v>5,"qiita","https://qiita.com/search?q=[word]","GET","\&lt;span class=\"badge\"\&gt;[0-9]*\&lt;\/span\&gt;","hit","",FALSE</v>
      </c>
      <c r="P10" s="43" t="s">
        <v>108</v>
      </c>
    </row>
    <row r="11" spans="1:17" s="40" customFormat="1">
      <c r="A11" s="38" t="s">
        <v>343</v>
      </c>
      <c r="B11" s="44" t="s">
        <v>80</v>
      </c>
      <c r="C11" s="44">
        <v>6</v>
      </c>
      <c r="D11" s="44" t="s">
        <v>322</v>
      </c>
      <c r="E11" s="44" t="s">
        <v>292</v>
      </c>
      <c r="F11" s="44" t="s">
        <v>274</v>
      </c>
      <c r="G11" s="45" t="s">
        <v>293</v>
      </c>
      <c r="H11" s="44" t="s">
        <v>330</v>
      </c>
      <c r="I11" s="44"/>
      <c r="J11" s="44" t="b">
        <v>0</v>
      </c>
      <c r="K11" s="43"/>
      <c r="L11" s="40">
        <v>6</v>
      </c>
      <c r="M11" s="43" t="str">
        <f t="shared" si="0"/>
        <v>DELETE FROM M_SITE WHERE ID = 6;</v>
      </c>
      <c r="N11" s="43" t="str">
        <f t="shared" si="1"/>
        <v>INSERT INTO M_SITE VALUES(</v>
      </c>
      <c r="O11" s="43" t="str">
        <f t="shared" si="2"/>
        <v>6,"qiita(post)","https://qiita.com/search?q=[word]","GET","partiallyMatchedTag_stats.*投稿","post","",FALSE</v>
      </c>
      <c r="P11" s="43" t="s">
        <v>108</v>
      </c>
    </row>
    <row r="12" spans="1:17" s="40" customFormat="1">
      <c r="A12" s="38" t="s">
        <v>343</v>
      </c>
      <c r="B12" s="44" t="s">
        <v>80</v>
      </c>
      <c r="C12" s="44">
        <v>7</v>
      </c>
      <c r="D12" s="44" t="s">
        <v>323</v>
      </c>
      <c r="E12" s="44" t="s">
        <v>292</v>
      </c>
      <c r="F12" s="44" t="s">
        <v>274</v>
      </c>
      <c r="G12" s="45" t="s">
        <v>294</v>
      </c>
      <c r="H12" s="44" t="s">
        <v>331</v>
      </c>
      <c r="I12" s="44"/>
      <c r="J12" s="44" t="b">
        <v>0</v>
      </c>
      <c r="K12" s="43"/>
      <c r="L12" s="40">
        <v>7</v>
      </c>
      <c r="M12" s="43" t="str">
        <f t="shared" si="0"/>
        <v>DELETE FROM M_SITE WHERE ID = 7;</v>
      </c>
      <c r="N12" s="43" t="str">
        <f t="shared" si="1"/>
        <v>INSERT INTO M_SITE VALUES(</v>
      </c>
      <c r="O12" s="43" t="str">
        <f t="shared" si="2"/>
        <v>7,"qiita(follower)","https://qiita.com/search?q=[word]","GET","partiallyMatchedTag_divider.*フォロワー","follower","",FALSE</v>
      </c>
      <c r="P12" s="43" t="s">
        <v>108</v>
      </c>
    </row>
    <row r="13" spans="1:17" s="40" customFormat="1">
      <c r="A13" s="38" t="s">
        <v>343</v>
      </c>
      <c r="B13" s="44" t="s">
        <v>80</v>
      </c>
      <c r="C13" s="44">
        <v>8</v>
      </c>
      <c r="D13" s="44" t="s">
        <v>295</v>
      </c>
      <c r="E13" s="44" t="s">
        <v>297</v>
      </c>
      <c r="F13" s="44" t="s">
        <v>274</v>
      </c>
      <c r="G13" s="45" t="s">
        <v>296</v>
      </c>
      <c r="H13" s="44" t="s">
        <v>275</v>
      </c>
      <c r="I13" s="44"/>
      <c r="J13" s="44" t="b">
        <v>0</v>
      </c>
      <c r="K13" s="43"/>
      <c r="L13" s="40">
        <v>8</v>
      </c>
      <c r="M13" s="43" t="str">
        <f t="shared" ref="M13:M21" si="3">"DELETE FROM " &amp; $B13 &amp; " WHERE ID = " &amp; C13 &amp; ";"</f>
        <v>DELETE FROM M_SITE WHERE ID = 8;</v>
      </c>
      <c r="N13" s="43" t="str">
        <f t="shared" si="1"/>
        <v>INSERT INTO M_SITE VALUES(</v>
      </c>
      <c r="O13" s="43" t="str">
        <f t="shared" ref="O13:O21" si="4" xml:space="preserve"> IF(IFERROR(FIND("VAR",C$5),0)&gt;0,""""&amp; C13 &amp; """",C13) &amp; "," &amp; IF(IFERROR(FIND("VAR",D$5),0)&gt;0,""""&amp; D13 &amp; """",D13) &amp; "," &amp; IF(IFERROR(FIND("VAR",E$5),0)&gt;0,""""&amp; E13 &amp; """",E13) &amp; "," &amp;  IF(IFERROR(FIND("VAR",F$5),0)&gt;0,""""&amp; F13 &amp; """",F13)&amp; "," &amp;  IF(IFERROR(FIND("VAR",G$5),0)&gt;0,""""&amp; G13 &amp; """",G13) &amp; "," &amp; IF(IFERROR(FIND("VAR",H$5),0)&gt;0,""""&amp; H13 &amp; """",H13) &amp; "," &amp;  IF(IFERROR(FIND("VAR",I$5),0)&gt;0,""""&amp; I13 &amp; """",G13) &amp; "," &amp; IF(IFERROR(FIND("VAR",J$5),0)&gt;0,""""&amp; J13 &amp; """",J13)</f>
        <v>8,"GitHub","https://github.com/search?utf8=%E2%9C%93&amp;q=[word]","GET","found.*repository","hit","",FALSE</v>
      </c>
      <c r="P13" s="43" t="s">
        <v>108</v>
      </c>
    </row>
    <row r="14" spans="1:17" s="40" customFormat="1">
      <c r="A14" s="38" t="s">
        <v>343</v>
      </c>
      <c r="B14" s="44" t="s">
        <v>80</v>
      </c>
      <c r="C14" s="44">
        <v>9</v>
      </c>
      <c r="D14" s="44" t="s">
        <v>298</v>
      </c>
      <c r="E14" s="44" t="s">
        <v>300</v>
      </c>
      <c r="F14" s="44" t="s">
        <v>274</v>
      </c>
      <c r="G14" s="45" t="s">
        <v>299</v>
      </c>
      <c r="H14" s="44" t="s">
        <v>275</v>
      </c>
      <c r="I14" s="44"/>
      <c r="J14" s="44" t="b">
        <v>0</v>
      </c>
      <c r="K14" s="43"/>
      <c r="L14" s="40">
        <v>9</v>
      </c>
      <c r="M14" s="43" t="str">
        <f t="shared" si="3"/>
        <v>DELETE FROM M_SITE WHERE ID = 9;</v>
      </c>
      <c r="N14" s="43" t="str">
        <f t="shared" si="1"/>
        <v>INSERT INTO M_SITE VALUES(</v>
      </c>
      <c r="O14" s="43" t="str">
        <f t="shared" si="4"/>
        <v>9,"JobStreet(My)","http://www.jobstreet.com.my/en/job-search/job-vacancy.php?key=[word]","GET","\&lt;span id=\"search_desc\"\&gt;\&lt;b\&gt;.*\&lt;\/b\&gt;","hit","",FALSE</v>
      </c>
      <c r="P14" s="43" t="s">
        <v>108</v>
      </c>
    </row>
    <row r="15" spans="1:17" s="40" customFormat="1">
      <c r="A15" s="38" t="s">
        <v>343</v>
      </c>
      <c r="B15" s="44" t="s">
        <v>80</v>
      </c>
      <c r="C15" s="44">
        <v>10</v>
      </c>
      <c r="D15" s="44" t="s">
        <v>301</v>
      </c>
      <c r="E15" s="44" t="s">
        <v>302</v>
      </c>
      <c r="F15" s="44" t="s">
        <v>274</v>
      </c>
      <c r="G15" s="45" t="s">
        <v>299</v>
      </c>
      <c r="H15" s="44" t="s">
        <v>275</v>
      </c>
      <c r="I15" s="44"/>
      <c r="J15" s="44" t="b">
        <v>0</v>
      </c>
      <c r="K15" s="43"/>
      <c r="L15" s="40">
        <v>10</v>
      </c>
      <c r="M15" s="43" t="str">
        <f t="shared" si="3"/>
        <v>DELETE FROM M_SITE WHERE ID = 10;</v>
      </c>
      <c r="N15" s="43" t="str">
        <f t="shared" si="1"/>
        <v>INSERT INTO M_SITE VALUES(</v>
      </c>
      <c r="O15" s="43" t="str">
        <f t="shared" si="4"/>
        <v>10,"JobStreet(Sg)","http://www.jobstreet.com.sg/en/job-search/job-vacancy.php?key=[word]","GET","\&lt;span id=\"search_desc\"\&gt;\&lt;b\&gt;.*\&lt;\/b\&gt;","hit","",FALSE</v>
      </c>
      <c r="P15" s="43" t="s">
        <v>108</v>
      </c>
    </row>
    <row r="16" spans="1:17" s="40" customFormat="1">
      <c r="A16" s="38" t="s">
        <v>343</v>
      </c>
      <c r="B16" s="44" t="s">
        <v>80</v>
      </c>
      <c r="C16" s="44">
        <v>11</v>
      </c>
      <c r="D16" s="44" t="s">
        <v>303</v>
      </c>
      <c r="E16" s="44" t="s">
        <v>304</v>
      </c>
      <c r="F16" s="44" t="s">
        <v>274</v>
      </c>
      <c r="G16" s="45" t="s">
        <v>299</v>
      </c>
      <c r="H16" s="44" t="s">
        <v>275</v>
      </c>
      <c r="I16" s="44"/>
      <c r="J16" s="44" t="b">
        <v>0</v>
      </c>
      <c r="K16" s="43"/>
      <c r="L16" s="40">
        <v>11</v>
      </c>
      <c r="M16" s="43" t="str">
        <f t="shared" si="3"/>
        <v>DELETE FROM M_SITE WHERE ID = 11;</v>
      </c>
      <c r="N16" s="43" t="str">
        <f t="shared" si="1"/>
        <v>INSERT INTO M_SITE VALUES(</v>
      </c>
      <c r="O16" s="43" t="str">
        <f t="shared" si="4"/>
        <v>11,"JobStreet(ph)","http://www.jobstreet.com.ph/en/job-search/job-vacancy.php?key=[word]","GET","\&lt;span id=\"search_desc\"\&gt;\&lt;b\&gt;.*\&lt;\/b\&gt;","hit","",FALSE</v>
      </c>
      <c r="P16" s="43" t="s">
        <v>108</v>
      </c>
    </row>
    <row r="17" spans="1:17" s="40" customFormat="1">
      <c r="A17" s="38" t="s">
        <v>343</v>
      </c>
      <c r="B17" s="44" t="s">
        <v>80</v>
      </c>
      <c r="C17" s="44">
        <v>12</v>
      </c>
      <c r="D17" s="44" t="s">
        <v>305</v>
      </c>
      <c r="E17" s="44" t="s">
        <v>306</v>
      </c>
      <c r="F17" s="44" t="s">
        <v>274</v>
      </c>
      <c r="G17" s="45" t="s">
        <v>299</v>
      </c>
      <c r="H17" s="44" t="s">
        <v>275</v>
      </c>
      <c r="I17" s="44"/>
      <c r="J17" s="44" t="b">
        <v>0</v>
      </c>
      <c r="K17" s="43"/>
      <c r="L17" s="40">
        <v>12</v>
      </c>
      <c r="M17" s="43" t="str">
        <f t="shared" si="3"/>
        <v>DELETE FROM M_SITE WHERE ID = 12;</v>
      </c>
      <c r="N17" s="43" t="str">
        <f t="shared" si="1"/>
        <v>INSERT INTO M_SITE VALUES(</v>
      </c>
      <c r="O17" s="43" t="str">
        <f t="shared" si="4"/>
        <v>12,"JobStreet(id)","http://www.jobstreet.co.id/en/job-search/job-vacancy.php?key=[word]","GET","\&lt;span id=\"search_desc\"\&gt;\&lt;b\&gt;.*\&lt;\/b\&gt;","hit","",FALSE</v>
      </c>
      <c r="P17" s="43" t="s">
        <v>108</v>
      </c>
    </row>
    <row r="18" spans="1:17" s="40" customFormat="1">
      <c r="A18" s="38" t="s">
        <v>343</v>
      </c>
      <c r="B18" s="44" t="s">
        <v>80</v>
      </c>
      <c r="C18" s="44">
        <v>13</v>
      </c>
      <c r="D18" s="44" t="s">
        <v>307</v>
      </c>
      <c r="E18" s="44" t="s">
        <v>308</v>
      </c>
      <c r="F18" s="44" t="s">
        <v>274</v>
      </c>
      <c r="G18" s="45" t="s">
        <v>299</v>
      </c>
      <c r="H18" s="44" t="s">
        <v>275</v>
      </c>
      <c r="I18" s="44"/>
      <c r="J18" s="44" t="b">
        <v>0</v>
      </c>
      <c r="K18" s="43"/>
      <c r="L18" s="40">
        <v>13</v>
      </c>
      <c r="M18" s="43" t="str">
        <f t="shared" si="3"/>
        <v>DELETE FROM M_SITE WHERE ID = 13;</v>
      </c>
      <c r="N18" s="43" t="str">
        <f t="shared" si="1"/>
        <v>INSERT INTO M_SITE VALUES(</v>
      </c>
      <c r="O18" s="43" t="str">
        <f t="shared" si="4"/>
        <v>13,"JobStreet(vn)","http://www.jobstreet.vn/en/job-search/job-vacancy.php?key=[word]","GET","\&lt;span id=\"search_desc\"\&gt;\&lt;b\&gt;.*\&lt;\/b\&gt;","hit","",FALSE</v>
      </c>
      <c r="P18" s="43" t="s">
        <v>108</v>
      </c>
    </row>
    <row r="19" spans="1:17" s="40" customFormat="1">
      <c r="A19" s="38" t="s">
        <v>343</v>
      </c>
      <c r="B19" s="44" t="s">
        <v>80</v>
      </c>
      <c r="C19" s="44">
        <v>14</v>
      </c>
      <c r="D19" s="44" t="s">
        <v>309</v>
      </c>
      <c r="E19" s="44" t="s">
        <v>311</v>
      </c>
      <c r="F19" s="44" t="s">
        <v>274</v>
      </c>
      <c r="G19" s="45" t="s">
        <v>310</v>
      </c>
      <c r="H19" s="44" t="s">
        <v>275</v>
      </c>
      <c r="I19" s="44"/>
      <c r="J19" s="44" t="b">
        <v>0</v>
      </c>
      <c r="K19" s="43"/>
      <c r="L19" s="40">
        <v>14</v>
      </c>
      <c r="M19" s="43" t="str">
        <f t="shared" si="3"/>
        <v>DELETE FROM M_SITE WHERE ID = 14;</v>
      </c>
      <c r="N19" s="43" t="str">
        <f t="shared" si="1"/>
        <v>INSERT INTO M_SITE VALUES(</v>
      </c>
      <c r="O19" s="43" t="str">
        <f t="shared" si="4"/>
        <v>14,"stackoverflow","http://stackoverflow.com/questions/tagged/[word]","GET","\&lt;div class=\"summarycount al\"\&gt;.*\&lt;\/div\&gt;","hit","",FALSE</v>
      </c>
      <c r="P19" s="43" t="s">
        <v>108</v>
      </c>
    </row>
    <row r="20" spans="1:17" s="40" customFormat="1">
      <c r="A20" s="38" t="s">
        <v>343</v>
      </c>
      <c r="B20" s="44" t="s">
        <v>80</v>
      </c>
      <c r="C20" s="44">
        <v>15</v>
      </c>
      <c r="D20" s="44" t="s">
        <v>312</v>
      </c>
      <c r="E20" s="44" t="s">
        <v>313</v>
      </c>
      <c r="F20" s="44" t="s">
        <v>274</v>
      </c>
      <c r="G20" s="45" t="s">
        <v>310</v>
      </c>
      <c r="H20" s="44" t="s">
        <v>275</v>
      </c>
      <c r="I20" s="44"/>
      <c r="J20" s="44" t="b">
        <v>0</v>
      </c>
      <c r="K20" s="43"/>
      <c r="L20" s="40">
        <v>15</v>
      </c>
      <c r="M20" s="43" t="str">
        <f t="shared" si="3"/>
        <v>DELETE FROM M_SITE WHERE ID = 15;</v>
      </c>
      <c r="N20" s="43" t="str">
        <f t="shared" si="1"/>
        <v>INSERT INTO M_SITE VALUES(</v>
      </c>
      <c r="O20" s="43" t="str">
        <f t="shared" si="4"/>
        <v>15,"stackoverflow(jp)","http://ja.stackoverflow.com/questions/tagged/[word]","GET","\&lt;div class=\"summarycount al\"\&gt;.*\&lt;\/div\&gt;","hit","",FALSE</v>
      </c>
      <c r="P20" s="43" t="s">
        <v>108</v>
      </c>
    </row>
    <row r="21" spans="1:17" s="40" customFormat="1">
      <c r="A21" s="38" t="s">
        <v>343</v>
      </c>
      <c r="B21" s="44" t="s">
        <v>80</v>
      </c>
      <c r="C21" s="44">
        <v>16</v>
      </c>
      <c r="D21" s="44" t="s">
        <v>314</v>
      </c>
      <c r="E21" s="44" t="s">
        <v>316</v>
      </c>
      <c r="F21" s="44" t="s">
        <v>274</v>
      </c>
      <c r="G21" s="45" t="s">
        <v>315</v>
      </c>
      <c r="H21" s="44" t="s">
        <v>275</v>
      </c>
      <c r="I21" s="44"/>
      <c r="J21" s="44" t="b">
        <v>0</v>
      </c>
      <c r="K21" s="43"/>
      <c r="L21" s="40">
        <v>16</v>
      </c>
      <c r="M21" s="43" t="str">
        <f t="shared" si="3"/>
        <v>DELETE FROM M_SITE WHERE ID = 16;</v>
      </c>
      <c r="N21" s="43" t="str">
        <f t="shared" si="1"/>
        <v>INSERT INTO M_SITE VALUES(</v>
      </c>
      <c r="O21" s="43" t="str">
        <f t="shared" si="4"/>
        <v>16,"taratail","https://teratail.com/questions/search?q=[word]&amp;search_type=and","GET","\&lt;span\&gt;[0-9]*件\&lt;\/span\&gt;","hit","",FALSE</v>
      </c>
      <c r="P21" s="43" t="s">
        <v>108</v>
      </c>
    </row>
    <row r="23" spans="1:17">
      <c r="B23" s="4" t="s">
        <v>5</v>
      </c>
      <c r="C23" s="15">
        <v>1</v>
      </c>
      <c r="D23" s="15">
        <v>2</v>
      </c>
      <c r="E23" s="15">
        <v>3</v>
      </c>
      <c r="F23" s="15">
        <v>3</v>
      </c>
      <c r="G23" s="15">
        <v>4</v>
      </c>
      <c r="H23" s="15">
        <v>5</v>
      </c>
      <c r="I23" s="15">
        <v>6</v>
      </c>
      <c r="J23" s="15">
        <v>7</v>
      </c>
      <c r="K23" s="15">
        <v>8</v>
      </c>
      <c r="M23" s="18"/>
      <c r="N23" s="18"/>
      <c r="O23" s="18"/>
      <c r="P23" s="18"/>
      <c r="Q23" s="18"/>
    </row>
    <row r="24" spans="1:17">
      <c r="B24" s="4" t="s">
        <v>6</v>
      </c>
      <c r="C24" s="16" t="s">
        <v>83</v>
      </c>
      <c r="D24" s="16" t="s">
        <v>31</v>
      </c>
      <c r="E24" s="16" t="s">
        <v>349</v>
      </c>
      <c r="F24" s="16" t="s">
        <v>85</v>
      </c>
      <c r="G24" s="16" t="s">
        <v>86</v>
      </c>
      <c r="H24" s="16" t="s">
        <v>90</v>
      </c>
      <c r="I24" s="16" t="s">
        <v>92</v>
      </c>
      <c r="J24" s="16" t="s">
        <v>95</v>
      </c>
      <c r="K24" s="16" t="s">
        <v>97</v>
      </c>
      <c r="M24" s="32"/>
      <c r="N24" s="32"/>
      <c r="O24" s="32"/>
      <c r="P24" s="32"/>
    </row>
    <row r="25" spans="1:17">
      <c r="B25" s="4" t="s">
        <v>7</v>
      </c>
      <c r="C25" s="16" t="s">
        <v>83</v>
      </c>
      <c r="D25" s="16" t="s">
        <v>32</v>
      </c>
      <c r="E25" s="16" t="s">
        <v>347</v>
      </c>
      <c r="F25" s="16" t="s">
        <v>85</v>
      </c>
      <c r="G25" s="16" t="s">
        <v>89</v>
      </c>
      <c r="H25" s="16" t="s">
        <v>91</v>
      </c>
      <c r="I25" s="16" t="s">
        <v>368</v>
      </c>
      <c r="J25" s="16" t="s">
        <v>96</v>
      </c>
      <c r="K25" s="16" t="s">
        <v>98</v>
      </c>
    </row>
    <row r="26" spans="1:17">
      <c r="B26" s="5" t="s">
        <v>8</v>
      </c>
      <c r="C26" s="16" t="s">
        <v>101</v>
      </c>
      <c r="D26" s="16" t="s">
        <v>17</v>
      </c>
      <c r="E26" s="16" t="s">
        <v>350</v>
      </c>
      <c r="F26" s="16" t="s">
        <v>87</v>
      </c>
      <c r="G26" s="16" t="s">
        <v>88</v>
      </c>
      <c r="H26" s="16" t="s">
        <v>87</v>
      </c>
      <c r="I26" s="16" t="s">
        <v>366</v>
      </c>
      <c r="J26" s="16" t="s">
        <v>94</v>
      </c>
      <c r="K26" s="16" t="s">
        <v>99</v>
      </c>
      <c r="M26" s="18" t="s">
        <v>106</v>
      </c>
      <c r="N26" s="18" t="s">
        <v>107</v>
      </c>
    </row>
    <row r="27" spans="1:17">
      <c r="B27" s="34" t="s">
        <v>109</v>
      </c>
      <c r="C27" s="34">
        <v>1</v>
      </c>
      <c r="D27" s="34" t="s">
        <v>361</v>
      </c>
      <c r="E27" s="34" t="s">
        <v>361</v>
      </c>
      <c r="F27" s="34" t="s">
        <v>277</v>
      </c>
      <c r="G27" s="34" t="s">
        <v>274</v>
      </c>
      <c r="H27" s="34" t="s">
        <v>332</v>
      </c>
      <c r="I27" s="34">
        <v>2</v>
      </c>
      <c r="J27" s="34"/>
      <c r="K27" s="34" t="b">
        <v>0</v>
      </c>
      <c r="L27">
        <v>1</v>
      </c>
      <c r="M27" s="32" t="str">
        <f>"DELETE FROM " &amp; $B27 &amp; " WHERE ID = " &amp; C27 &amp; ";"</f>
        <v>DELETE FROM M_SITE WHERE ID = 1;</v>
      </c>
      <c r="N27" s="32" t="str">
        <f>"INSERT INTO " &amp; $B27 &amp; " VALUES("</f>
        <v>INSERT INTO M_SITE VALUES(</v>
      </c>
      <c r="O27" s="32" t="str">
        <f xml:space="preserve"> IF(IFERROR(FIND("VAR",C$26),0)&gt;0,""""&amp; C27 &amp; """",C27) &amp; "," &amp; IF(IFERROR(FIND("VAR",D$26),0)&gt;0,""""&amp; D27 &amp; """",D27) &amp; "," &amp; IF(IFERROR(FIND("VAR",E$26),0)&gt;0,""""&amp; E27 &amp; """",E27) &amp; "," &amp;  IF(IFERROR(FIND("VAR",F$26),0)&gt;0,""""&amp; F27 &amp; """",F27)&amp; "," &amp;  IF(IFERROR(FIND("VAR",G$26),0)&gt;0,""""&amp; G27 &amp; """",G27) &amp; "," &amp; IF(IFERROR(FIND("VAR",H$26),0)&gt;0,""""&amp; H27 &amp; """",H27) &amp; "," &amp;  IF(IFERROR(FIND("VAR",I$26),0)&gt;0,""""&amp; I27 &amp; """",I27) &amp; "," &amp; IF(IFERROR(FIND("VAR",J$26),0)&gt;0,""""&amp; J27 &amp; """",J27) &amp; "," &amp; IF(IFERROR(FIND("VAR",K$26),0)&gt;0,""""&amp; K27 &amp; """",K27)</f>
        <v>1,"en-japan","en-japan","https://employment.en-japan.com/search/search_list/?keywordtext=[word]","GET","\\&lt;em\\&gt;[0-9]*\\&lt;\\/em\\&gt;",2,"",FALSE</v>
      </c>
      <c r="P27" s="18" t="s">
        <v>108</v>
      </c>
      <c r="Q27" s="18"/>
    </row>
    <row r="28" spans="1:17">
      <c r="B28" s="34" t="s">
        <v>109</v>
      </c>
      <c r="C28" s="34">
        <v>2</v>
      </c>
      <c r="D28" s="34" t="s">
        <v>278</v>
      </c>
      <c r="E28" s="34" t="s">
        <v>352</v>
      </c>
      <c r="F28" s="34" t="s">
        <v>282</v>
      </c>
      <c r="G28" s="34" t="s">
        <v>279</v>
      </c>
      <c r="H28" s="34" t="s">
        <v>335</v>
      </c>
      <c r="I28" s="34">
        <v>2</v>
      </c>
      <c r="J28" s="34" t="s">
        <v>363</v>
      </c>
      <c r="K28" s="34" t="b">
        <v>0</v>
      </c>
      <c r="L28">
        <v>2</v>
      </c>
      <c r="M28" s="32" t="str">
        <f t="shared" ref="M28:M42" si="5">"DELETE FROM " &amp; $B28 &amp; " WHERE ID = " &amp; C28 &amp; ";"</f>
        <v>DELETE FROM M_SITE WHERE ID = 2;</v>
      </c>
      <c r="N28" s="32" t="str">
        <f t="shared" ref="N28:N42" si="6">"INSERT INTO " &amp; $B28 &amp; " VALUES("</f>
        <v>INSERT INTO M_SITE VALUES(</v>
      </c>
      <c r="O28" s="32" t="str">
        <f t="shared" ref="O28:O42" si="7" xml:space="preserve"> IF(IFERROR(FIND("VAR",C$26),0)&gt;0,""""&amp; C28 &amp; """",C28) &amp; "," &amp; IF(IFERROR(FIND("VAR",D$26),0)&gt;0,""""&amp; D28 &amp; """",D28) &amp; "," &amp; IF(IFERROR(FIND("VAR",E$26),0)&gt;0,""""&amp; E28 &amp; """",E28) &amp; "," &amp;  IF(IFERROR(FIND("VAR",F$26),0)&gt;0,""""&amp; F28 &amp; """",F28)&amp; "," &amp;  IF(IFERROR(FIND("VAR",G$26),0)&gt;0,""""&amp; G28 &amp; """",G28) &amp; "," &amp; IF(IFERROR(FIND("VAR",H$26),0)&gt;0,""""&amp; H28 &amp; """",H28) &amp; "," &amp;  IF(IFERROR(FIND("VAR",I$26),0)&gt;0,""""&amp; I28 &amp; """",I28) &amp; "," &amp; IF(IFERROR(FIND("VAR",J$26),0)&gt;0,""""&amp; J28 &amp; """",J28) &amp; "," &amp; IF(IFERROR(FIND("VAR",K$26),0)&gt;0,""""&amp; K28 &amp; """",K28)</f>
        <v>2,"rikunabi","rikunabi","http://next.rikunabi.com/rnc/docs/cp_s00890.jsp?f=cp_s00010&amp;__m=1","POST","\\&lt;span class=\"hit_number\"\\&gt;.*?\\&lt;\\/span\\&gt;",2,"keyword",FALSE</v>
      </c>
      <c r="P28" s="18" t="s">
        <v>108</v>
      </c>
    </row>
    <row r="29" spans="1:17">
      <c r="B29" s="34" t="s">
        <v>80</v>
      </c>
      <c r="C29" s="34">
        <v>3</v>
      </c>
      <c r="D29" s="34" t="s">
        <v>283</v>
      </c>
      <c r="E29" s="34" t="s">
        <v>283</v>
      </c>
      <c r="F29" s="34" t="s">
        <v>286</v>
      </c>
      <c r="G29" s="34" t="s">
        <v>279</v>
      </c>
      <c r="H29" s="34" t="s">
        <v>333</v>
      </c>
      <c r="I29" s="34">
        <v>2</v>
      </c>
      <c r="J29" s="34" t="s">
        <v>284</v>
      </c>
      <c r="K29" s="34" t="b">
        <v>0</v>
      </c>
      <c r="L29">
        <v>3</v>
      </c>
      <c r="M29" s="32" t="str">
        <f t="shared" si="5"/>
        <v>DELETE FROM M_SITE WHERE ID = 3;</v>
      </c>
      <c r="N29" s="32" t="str">
        <f t="shared" si="6"/>
        <v>INSERT INTO M_SITE VALUES(</v>
      </c>
      <c r="O29" s="32" t="str">
        <f t="shared" si="7"/>
        <v>3,"mynavi","mynavi","http://tenshoku.mynavi.jp/jobsearch/index.cfm?fuseaction=mrjh_listSearchresults_form&amp;jobsearch_flg=16&amp;search_flg=20","POST","\\&lt;span\&gt;[0-9]*\\&lt;",2,"sr_free_search_keyword",FALSE</v>
      </c>
      <c r="P29" s="18" t="s">
        <v>108</v>
      </c>
    </row>
    <row r="30" spans="1:17">
      <c r="B30" s="34" t="s">
        <v>80</v>
      </c>
      <c r="C30" s="34">
        <v>4</v>
      </c>
      <c r="D30" s="34" t="s">
        <v>287</v>
      </c>
      <c r="E30" s="34" t="s">
        <v>287</v>
      </c>
      <c r="F30" s="34" t="s">
        <v>289</v>
      </c>
      <c r="G30" s="34" t="s">
        <v>274</v>
      </c>
      <c r="H30" s="34" t="s">
        <v>337</v>
      </c>
      <c r="I30" s="34">
        <v>2</v>
      </c>
      <c r="J30" s="34"/>
      <c r="K30" s="34" t="b">
        <v>0</v>
      </c>
      <c r="L30">
        <v>4</v>
      </c>
      <c r="M30" s="32" t="str">
        <f t="shared" si="5"/>
        <v>DELETE FROM M_SITE WHERE ID = 4;</v>
      </c>
      <c r="N30" s="32" t="str">
        <f t="shared" si="6"/>
        <v>INSERT INTO M_SITE VALUES(</v>
      </c>
      <c r="O30" s="32" t="str">
        <f t="shared" si="7"/>
        <v>4,"type","type","http://type.jp/job/search_company_name.do?pathway=5&amp;keyword=[word]","GET","\\&lt;span class=\"num\"\\&gt;[0-9]*\\&lt;\\/span\\&gt;",2,"",FALSE</v>
      </c>
      <c r="P30" s="18" t="s">
        <v>108</v>
      </c>
    </row>
    <row r="31" spans="1:17">
      <c r="B31" s="34" t="s">
        <v>80</v>
      </c>
      <c r="C31" s="34">
        <v>5</v>
      </c>
      <c r="D31" s="34" t="s">
        <v>290</v>
      </c>
      <c r="E31" s="34" t="s">
        <v>290</v>
      </c>
      <c r="F31" s="34" t="s">
        <v>292</v>
      </c>
      <c r="G31" s="34" t="s">
        <v>274</v>
      </c>
      <c r="H31" s="34" t="s">
        <v>338</v>
      </c>
      <c r="I31" s="34">
        <v>1</v>
      </c>
      <c r="J31" s="34"/>
      <c r="K31" s="34" t="b">
        <v>0</v>
      </c>
      <c r="L31">
        <v>5</v>
      </c>
      <c r="M31" s="32" t="str">
        <f t="shared" si="5"/>
        <v>DELETE FROM M_SITE WHERE ID = 5;</v>
      </c>
      <c r="N31" s="32" t="str">
        <f t="shared" si="6"/>
        <v>INSERT INTO M_SITE VALUES(</v>
      </c>
      <c r="O31" s="32" t="str">
        <f t="shared" si="7"/>
        <v>5,"qiita","qiita","https://qiita.com/search?q=[word]","GET","\\&lt;span class=\"badge\"\\&gt;[0-9]*\\&lt;\\/span\\&gt;",1,"",FALSE</v>
      </c>
      <c r="P31" s="18" t="s">
        <v>108</v>
      </c>
    </row>
    <row r="32" spans="1:17">
      <c r="B32" s="34" t="s">
        <v>80</v>
      </c>
      <c r="C32" s="34">
        <v>6</v>
      </c>
      <c r="D32" s="34" t="s">
        <v>341</v>
      </c>
      <c r="E32" s="34" t="s">
        <v>360</v>
      </c>
      <c r="F32" s="34" t="s">
        <v>292</v>
      </c>
      <c r="G32" s="34" t="s">
        <v>274</v>
      </c>
      <c r="H32" s="39" t="s">
        <v>293</v>
      </c>
      <c r="I32" s="34">
        <v>1</v>
      </c>
      <c r="J32" s="34"/>
      <c r="K32" s="34" t="b">
        <v>0</v>
      </c>
      <c r="L32">
        <v>6</v>
      </c>
      <c r="M32" s="32" t="str">
        <f t="shared" si="5"/>
        <v>DELETE FROM M_SITE WHERE ID = 6;</v>
      </c>
      <c r="N32" s="32" t="str">
        <f t="shared" si="6"/>
        <v>INSERT INTO M_SITE VALUES(</v>
      </c>
      <c r="O32" s="32" t="str">
        <f t="shared" si="7"/>
        <v>6,"qiita(post)","qiita(p)","https://qiita.com/search?q=[word]","GET","partiallyMatchedTag_stats.*投稿",1,"",FALSE</v>
      </c>
      <c r="P32" s="18" t="s">
        <v>108</v>
      </c>
    </row>
    <row r="33" spans="2:16">
      <c r="B33" s="34" t="s">
        <v>80</v>
      </c>
      <c r="C33" s="34">
        <v>7</v>
      </c>
      <c r="D33" s="34" t="s">
        <v>342</v>
      </c>
      <c r="E33" s="34" t="s">
        <v>359</v>
      </c>
      <c r="F33" s="34" t="s">
        <v>292</v>
      </c>
      <c r="G33" s="34" t="s">
        <v>274</v>
      </c>
      <c r="H33" s="39" t="s">
        <v>294</v>
      </c>
      <c r="I33" s="34">
        <v>1</v>
      </c>
      <c r="J33" s="34"/>
      <c r="K33" s="34" t="b">
        <v>0</v>
      </c>
      <c r="L33">
        <v>7</v>
      </c>
      <c r="M33" s="32" t="str">
        <f t="shared" si="5"/>
        <v>DELETE FROM M_SITE WHERE ID = 7;</v>
      </c>
      <c r="N33" s="32" t="str">
        <f t="shared" si="6"/>
        <v>INSERT INTO M_SITE VALUES(</v>
      </c>
      <c r="O33" s="32" t="str">
        <f t="shared" si="7"/>
        <v>7,"qiita(follower)","qiita(f)","https://qiita.com/search?q=[word]","GET","partiallyMatchedTag_divider.*フォロワー",1,"",FALSE</v>
      </c>
      <c r="P33" s="18" t="s">
        <v>108</v>
      </c>
    </row>
    <row r="34" spans="2:16">
      <c r="B34" s="34" t="s">
        <v>80</v>
      </c>
      <c r="C34" s="34">
        <v>8</v>
      </c>
      <c r="D34" s="34" t="s">
        <v>295</v>
      </c>
      <c r="E34" s="34" t="s">
        <v>295</v>
      </c>
      <c r="F34" s="34" t="s">
        <v>297</v>
      </c>
      <c r="G34" s="34" t="s">
        <v>274</v>
      </c>
      <c r="H34" s="39" t="s">
        <v>296</v>
      </c>
      <c r="I34" s="34">
        <v>1</v>
      </c>
      <c r="J34" s="34"/>
      <c r="K34" s="34" t="b">
        <v>0</v>
      </c>
      <c r="L34">
        <v>8</v>
      </c>
      <c r="M34" s="32" t="str">
        <f t="shared" si="5"/>
        <v>DELETE FROM M_SITE WHERE ID = 8;</v>
      </c>
      <c r="N34" s="32" t="str">
        <f t="shared" si="6"/>
        <v>INSERT INTO M_SITE VALUES(</v>
      </c>
      <c r="O34" s="32" t="str">
        <f t="shared" si="7"/>
        <v>8,"GitHub","GitHub","https://github.com/search?utf8=%E2%9C%93&amp;q=[word]","GET","found.*repository",1,"",FALSE</v>
      </c>
      <c r="P34" s="18" t="s">
        <v>108</v>
      </c>
    </row>
    <row r="35" spans="2:16">
      <c r="B35" s="34" t="s">
        <v>80</v>
      </c>
      <c r="C35" s="34">
        <v>9</v>
      </c>
      <c r="D35" s="34" t="s">
        <v>298</v>
      </c>
      <c r="E35" s="34" t="s">
        <v>353</v>
      </c>
      <c r="F35" s="34" t="s">
        <v>300</v>
      </c>
      <c r="G35" s="34" t="s">
        <v>274</v>
      </c>
      <c r="H35" s="39" t="s">
        <v>339</v>
      </c>
      <c r="I35" s="34">
        <v>2</v>
      </c>
      <c r="J35" s="34"/>
      <c r="K35" s="34" t="b">
        <v>0</v>
      </c>
      <c r="L35">
        <v>9</v>
      </c>
      <c r="M35" s="32" t="str">
        <f t="shared" si="5"/>
        <v>DELETE FROM M_SITE WHERE ID = 9;</v>
      </c>
      <c r="N35" s="32" t="str">
        <f t="shared" si="6"/>
        <v>INSERT INTO M_SITE VALUES(</v>
      </c>
      <c r="O35" s="32" t="str">
        <f t="shared" si="7"/>
        <v>9,"JobStreet(My)","JS(My)","http://www.jobstreet.com.my/en/job-search/job-vacancy.php?key=[word]","GET","id=\"search_desc\"\\&gt;\\&lt;b\&gt;.*\\&lt;\\/b\\&gt;",2,"",FALSE</v>
      </c>
      <c r="P35" s="18" t="s">
        <v>108</v>
      </c>
    </row>
    <row r="36" spans="2:16">
      <c r="B36" s="34" t="s">
        <v>80</v>
      </c>
      <c r="C36" s="34">
        <v>10</v>
      </c>
      <c r="D36" s="34" t="s">
        <v>301</v>
      </c>
      <c r="E36" s="34" t="s">
        <v>354</v>
      </c>
      <c r="F36" s="34" t="s">
        <v>302</v>
      </c>
      <c r="G36" s="34" t="s">
        <v>274</v>
      </c>
      <c r="H36" s="39" t="s">
        <v>339</v>
      </c>
      <c r="I36" s="34">
        <v>2</v>
      </c>
      <c r="J36" s="34"/>
      <c r="K36" s="34" t="b">
        <v>0</v>
      </c>
      <c r="L36">
        <v>10</v>
      </c>
      <c r="M36" s="32" t="str">
        <f t="shared" si="5"/>
        <v>DELETE FROM M_SITE WHERE ID = 10;</v>
      </c>
      <c r="N36" s="32" t="str">
        <f t="shared" si="6"/>
        <v>INSERT INTO M_SITE VALUES(</v>
      </c>
      <c r="O36" s="32" t="str">
        <f t="shared" si="7"/>
        <v>10,"JobStreet(Sg)","JS(Sg)","http://www.jobstreet.com.sg/en/job-search/job-vacancy.php?key=[word]","GET","id=\"search_desc\"\\&gt;\\&lt;b\&gt;.*\\&lt;\\/b\\&gt;",2,"",FALSE</v>
      </c>
      <c r="P36" s="18" t="s">
        <v>108</v>
      </c>
    </row>
    <row r="37" spans="2:16">
      <c r="B37" s="34" t="s">
        <v>80</v>
      </c>
      <c r="C37" s="34">
        <v>11</v>
      </c>
      <c r="D37" s="34" t="s">
        <v>303</v>
      </c>
      <c r="E37" s="34" t="s">
        <v>355</v>
      </c>
      <c r="F37" s="34" t="s">
        <v>304</v>
      </c>
      <c r="G37" s="34" t="s">
        <v>274</v>
      </c>
      <c r="H37" s="39" t="s">
        <v>339</v>
      </c>
      <c r="I37" s="34">
        <v>2</v>
      </c>
      <c r="J37" s="34"/>
      <c r="K37" s="34" t="b">
        <v>0</v>
      </c>
      <c r="L37">
        <v>11</v>
      </c>
      <c r="M37" s="32" t="str">
        <f t="shared" si="5"/>
        <v>DELETE FROM M_SITE WHERE ID = 11;</v>
      </c>
      <c r="N37" s="32" t="str">
        <f t="shared" si="6"/>
        <v>INSERT INTO M_SITE VALUES(</v>
      </c>
      <c r="O37" s="32" t="str">
        <f t="shared" si="7"/>
        <v>11,"JobStreet(ph)","JSt(ph)","http://www.jobstreet.com.ph/en/job-search/job-vacancy.php?key=[word]","GET","id=\"search_desc\"\\&gt;\\&lt;b\&gt;.*\\&lt;\\/b\\&gt;",2,"",FALSE</v>
      </c>
      <c r="P37" s="18" t="s">
        <v>108</v>
      </c>
    </row>
    <row r="38" spans="2:16">
      <c r="B38" s="34" t="s">
        <v>80</v>
      </c>
      <c r="C38" s="34">
        <v>12</v>
      </c>
      <c r="D38" s="34" t="s">
        <v>305</v>
      </c>
      <c r="E38" s="34" t="s">
        <v>356</v>
      </c>
      <c r="F38" s="34" t="s">
        <v>306</v>
      </c>
      <c r="G38" s="34" t="s">
        <v>274</v>
      </c>
      <c r="H38" s="39" t="s">
        <v>339</v>
      </c>
      <c r="I38" s="34">
        <v>2</v>
      </c>
      <c r="J38" s="34"/>
      <c r="K38" s="34" t="b">
        <v>0</v>
      </c>
      <c r="L38">
        <v>12</v>
      </c>
      <c r="M38" s="32" t="str">
        <f t="shared" si="5"/>
        <v>DELETE FROM M_SITE WHERE ID = 12;</v>
      </c>
      <c r="N38" s="32" t="str">
        <f t="shared" si="6"/>
        <v>INSERT INTO M_SITE VALUES(</v>
      </c>
      <c r="O38" s="32" t="str">
        <f t="shared" si="7"/>
        <v>12,"JobStreet(id)","JS(id)","http://www.jobstreet.co.id/en/job-search/job-vacancy.php?key=[word]","GET","id=\"search_desc\"\\&gt;\\&lt;b\&gt;.*\\&lt;\\/b\\&gt;",2,"",FALSE</v>
      </c>
      <c r="P38" s="18" t="s">
        <v>108</v>
      </c>
    </row>
    <row r="39" spans="2:16">
      <c r="B39" s="34" t="s">
        <v>80</v>
      </c>
      <c r="C39" s="34">
        <v>13</v>
      </c>
      <c r="D39" s="34" t="s">
        <v>307</v>
      </c>
      <c r="E39" s="34" t="s">
        <v>357</v>
      </c>
      <c r="F39" s="34" t="s">
        <v>308</v>
      </c>
      <c r="G39" s="34" t="s">
        <v>274</v>
      </c>
      <c r="H39" s="39" t="s">
        <v>339</v>
      </c>
      <c r="I39" s="34">
        <v>2</v>
      </c>
      <c r="J39" s="34"/>
      <c r="K39" s="34" t="b">
        <v>0</v>
      </c>
      <c r="L39">
        <v>13</v>
      </c>
      <c r="M39" s="32" t="str">
        <f t="shared" si="5"/>
        <v>DELETE FROM M_SITE WHERE ID = 13;</v>
      </c>
      <c r="N39" s="32" t="str">
        <f t="shared" si="6"/>
        <v>INSERT INTO M_SITE VALUES(</v>
      </c>
      <c r="O39" s="32" t="str">
        <f t="shared" si="7"/>
        <v>13,"JobStreet(vn)","JS(vn)","http://www.jobstreet.vn/en/job-search/job-vacancy.php?key=[word]","GET","id=\"search_desc\"\\&gt;\\&lt;b\&gt;.*\\&lt;\\/b\\&gt;",2,"",FALSE</v>
      </c>
      <c r="P39" s="18" t="s">
        <v>108</v>
      </c>
    </row>
    <row r="40" spans="2:16">
      <c r="B40" s="34" t="s">
        <v>80</v>
      </c>
      <c r="C40" s="34">
        <v>14</v>
      </c>
      <c r="D40" s="34" t="s">
        <v>309</v>
      </c>
      <c r="E40" s="34" t="s">
        <v>358</v>
      </c>
      <c r="F40" s="34" t="s">
        <v>311</v>
      </c>
      <c r="G40" s="34" t="s">
        <v>274</v>
      </c>
      <c r="H40" s="39" t="s">
        <v>340</v>
      </c>
      <c r="I40" s="34">
        <v>1</v>
      </c>
      <c r="J40" s="34"/>
      <c r="K40" s="34" t="b">
        <v>0</v>
      </c>
      <c r="L40">
        <v>14</v>
      </c>
      <c r="M40" s="32" t="str">
        <f t="shared" si="5"/>
        <v>DELETE FROM M_SITE WHERE ID = 14;</v>
      </c>
      <c r="N40" s="32" t="str">
        <f t="shared" si="6"/>
        <v>INSERT INTO M_SITE VALUES(</v>
      </c>
      <c r="O40" s="32" t="str">
        <f t="shared" si="7"/>
        <v>14,"stackoverflow","stack","http://stackoverflow.com/questions/tagged/[word]","GET","\\&lt;div class=\"summarycount al\"\\&gt;.*\\&lt;\\/div\\&gt;",1,"",FALSE</v>
      </c>
      <c r="P40" s="18" t="s">
        <v>108</v>
      </c>
    </row>
    <row r="41" spans="2:16">
      <c r="B41" s="34" t="s">
        <v>80</v>
      </c>
      <c r="C41" s="34">
        <v>15</v>
      </c>
      <c r="D41" s="34" t="s">
        <v>312</v>
      </c>
      <c r="E41" s="34" t="s">
        <v>362</v>
      </c>
      <c r="F41" s="34" t="s">
        <v>313</v>
      </c>
      <c r="G41" s="34" t="s">
        <v>274</v>
      </c>
      <c r="H41" s="39" t="s">
        <v>340</v>
      </c>
      <c r="I41" s="34">
        <v>1</v>
      </c>
      <c r="J41" s="34"/>
      <c r="K41" s="34" t="b">
        <v>0</v>
      </c>
      <c r="L41">
        <v>15</v>
      </c>
      <c r="M41" s="32" t="str">
        <f t="shared" si="5"/>
        <v>DELETE FROM M_SITE WHERE ID = 15;</v>
      </c>
      <c r="N41" s="32" t="str">
        <f t="shared" si="6"/>
        <v>INSERT INTO M_SITE VALUES(</v>
      </c>
      <c r="O41" s="32" t="str">
        <f t="shared" si="7"/>
        <v>15,"stackoverflow(jp)","stack(j)","http://ja.stackoverflow.com/questions/tagged/[word]","GET","\\&lt;div class=\"summarycount al\"\\&gt;.*\\&lt;\\/div\\&gt;",1,"",FALSE</v>
      </c>
      <c r="P41" s="18" t="s">
        <v>108</v>
      </c>
    </row>
    <row r="42" spans="2:16">
      <c r="B42" s="34" t="s">
        <v>80</v>
      </c>
      <c r="C42" s="34">
        <v>16</v>
      </c>
      <c r="D42" s="34" t="s">
        <v>314</v>
      </c>
      <c r="E42" s="34" t="s">
        <v>314</v>
      </c>
      <c r="F42" s="34" t="s">
        <v>316</v>
      </c>
      <c r="G42" s="34" t="s">
        <v>274</v>
      </c>
      <c r="H42" s="39" t="s">
        <v>334</v>
      </c>
      <c r="I42" s="34">
        <v>1</v>
      </c>
      <c r="J42" s="34"/>
      <c r="K42" s="34" t="b">
        <v>0</v>
      </c>
      <c r="L42">
        <v>16</v>
      </c>
      <c r="M42" s="32" t="str">
        <f t="shared" si="5"/>
        <v>DELETE FROM M_SITE WHERE ID = 16;</v>
      </c>
      <c r="N42" s="32" t="str">
        <f t="shared" si="6"/>
        <v>INSERT INTO M_SITE VALUES(</v>
      </c>
      <c r="O42" s="32" t="str">
        <f t="shared" si="7"/>
        <v>16,"taratail","taratail","https://teratail.com/questions/search?q=[word]&amp;search_type=and","GET","\\&lt;span\\&gt;[0-9]*件\\&lt;\\/span\\&gt;",1,"",FALSE</v>
      </c>
      <c r="P42" s="18" t="s">
        <v>108</v>
      </c>
    </row>
    <row r="44" spans="2:16">
      <c r="B44" s="4" t="s">
        <v>5</v>
      </c>
      <c r="C44" s="15">
        <v>1</v>
      </c>
      <c r="D44" s="15">
        <v>2</v>
      </c>
      <c r="E44" s="15">
        <v>3</v>
      </c>
    </row>
    <row r="45" spans="2:16">
      <c r="B45" s="4" t="s">
        <v>6</v>
      </c>
      <c r="C45" s="16" t="s">
        <v>83</v>
      </c>
      <c r="D45" s="16" t="s">
        <v>28</v>
      </c>
      <c r="E45" s="16" t="s">
        <v>97</v>
      </c>
    </row>
    <row r="46" spans="2:16">
      <c r="B46" s="4" t="s">
        <v>7</v>
      </c>
      <c r="C46" s="16" t="s">
        <v>83</v>
      </c>
      <c r="D46" s="16" t="s">
        <v>115</v>
      </c>
      <c r="E46" s="16" t="s">
        <v>98</v>
      </c>
    </row>
    <row r="47" spans="2:16">
      <c r="B47" s="5" t="s">
        <v>8</v>
      </c>
      <c r="C47" s="16" t="s">
        <v>118</v>
      </c>
      <c r="D47" s="16" t="s">
        <v>17</v>
      </c>
      <c r="E47" s="16" t="s">
        <v>269</v>
      </c>
      <c r="M47" s="18" t="s">
        <v>106</v>
      </c>
      <c r="N47" s="18" t="s">
        <v>107</v>
      </c>
    </row>
    <row r="48" spans="2:16">
      <c r="B48" s="34" t="s">
        <v>130</v>
      </c>
      <c r="C48" s="34">
        <v>1</v>
      </c>
      <c r="D48" s="34" t="s">
        <v>260</v>
      </c>
      <c r="E48" s="34" t="b">
        <v>0</v>
      </c>
      <c r="F48" s="34">
        <v>1</v>
      </c>
      <c r="M48" s="32" t="str">
        <f>"DELETE FROM " &amp; $B48 &amp; " WHERE ID = " &amp; C48 &amp; ";"</f>
        <v>DELETE FROM M_CATEGORY WHERE ID = 1;</v>
      </c>
      <c r="N48" s="32" t="str">
        <f>"INSERT INTO " &amp; $B48 &amp; " VALUES("</f>
        <v>INSERT INTO M_CATEGORY VALUES(</v>
      </c>
      <c r="O48" s="32" t="str">
        <f xml:space="preserve"> IF(IFERROR(FIND("VAR",C$47),0)&gt;0,""""&amp; C48 &amp; """",C48) &amp; "," &amp; IF(IFERROR(FIND("VAR",D$47),0)&gt;0,""""&amp; D48 &amp; """",D48) &amp; "," &amp; IF(IFERROR(FIND("VAR",E$47),0)&gt;0,""""&amp; E48 &amp; """",E48)</f>
        <v>1,"Language",FALSE</v>
      </c>
      <c r="P48" s="18" t="s">
        <v>108</v>
      </c>
    </row>
    <row r="49" spans="2:16">
      <c r="B49" s="34" t="s">
        <v>130</v>
      </c>
      <c r="C49" s="34">
        <v>2</v>
      </c>
      <c r="D49" s="34" t="s">
        <v>261</v>
      </c>
      <c r="E49" s="34" t="b">
        <v>0</v>
      </c>
      <c r="F49" s="34">
        <v>2</v>
      </c>
      <c r="M49" s="32" t="str">
        <f t="shared" ref="M49:M56" si="8">"DELETE FROM " &amp; $B49 &amp; " WHERE ID = " &amp; C49 &amp; ";"</f>
        <v>DELETE FROM M_CATEGORY WHERE ID = 2;</v>
      </c>
      <c r="N49" s="32" t="str">
        <f t="shared" ref="N49:N56" si="9">"INSERT INTO " &amp; $B49 &amp; " VALUES("</f>
        <v>INSERT INTO M_CATEGORY VALUES(</v>
      </c>
      <c r="O49" s="32" t="str">
        <f t="shared" ref="O49:O56" si="10" xml:space="preserve"> IF(IFERROR(FIND("VAR",C$47),0)&gt;0,""""&amp; C49 &amp; """",C49) &amp; "," &amp; IF(IFERROR(FIND("VAR",D$47),0)&gt;0,""""&amp; D49 &amp; """",D49) &amp; "," &amp; IF(IFERROR(FIND("VAR",E$47),0)&gt;0,""""&amp; E49 &amp; """",E49)</f>
        <v>2,"Framework",FALSE</v>
      </c>
      <c r="P49" s="18" t="s">
        <v>108</v>
      </c>
    </row>
    <row r="50" spans="2:16">
      <c r="B50" s="34" t="s">
        <v>130</v>
      </c>
      <c r="C50" s="34">
        <v>3</v>
      </c>
      <c r="D50" s="34" t="s">
        <v>262</v>
      </c>
      <c r="E50" s="34" t="b">
        <v>0</v>
      </c>
      <c r="F50" s="34">
        <v>3</v>
      </c>
      <c r="M50" s="32" t="str">
        <f t="shared" si="8"/>
        <v>DELETE FROM M_CATEGORY WHERE ID = 3;</v>
      </c>
      <c r="N50" s="32" t="str">
        <f t="shared" si="9"/>
        <v>INSERT INTO M_CATEGORY VALUES(</v>
      </c>
      <c r="O50" s="32" t="str">
        <f t="shared" si="10"/>
        <v>3,"Database",FALSE</v>
      </c>
      <c r="P50" s="18" t="s">
        <v>108</v>
      </c>
    </row>
    <row r="51" spans="2:16">
      <c r="B51" s="34" t="s">
        <v>130</v>
      </c>
      <c r="C51" s="34">
        <v>4</v>
      </c>
      <c r="D51" s="34" t="s">
        <v>263</v>
      </c>
      <c r="E51" s="34" t="b">
        <v>0</v>
      </c>
      <c r="F51" s="34">
        <v>4</v>
      </c>
      <c r="M51" s="32" t="str">
        <f t="shared" si="8"/>
        <v>DELETE FROM M_CATEGORY WHERE ID = 4;</v>
      </c>
      <c r="N51" s="32" t="str">
        <f t="shared" si="9"/>
        <v>INSERT INTO M_CATEGORY VALUES(</v>
      </c>
      <c r="O51" s="32" t="str">
        <f t="shared" si="10"/>
        <v>4,"OS",FALSE</v>
      </c>
      <c r="P51" s="18" t="s">
        <v>108</v>
      </c>
    </row>
    <row r="52" spans="2:16">
      <c r="B52" s="34" t="s">
        <v>130</v>
      </c>
      <c r="C52" s="34">
        <v>5</v>
      </c>
      <c r="D52" s="34" t="s">
        <v>264</v>
      </c>
      <c r="E52" s="34" t="b">
        <v>0</v>
      </c>
      <c r="F52" s="34">
        <v>5</v>
      </c>
      <c r="M52" s="32" t="str">
        <f t="shared" si="8"/>
        <v>DELETE FROM M_CATEGORY WHERE ID = 5;</v>
      </c>
      <c r="N52" s="32" t="str">
        <f t="shared" si="9"/>
        <v>INSERT INTO M_CATEGORY VALUES(</v>
      </c>
      <c r="O52" s="32" t="str">
        <f t="shared" si="10"/>
        <v>5,"Infra",FALSE</v>
      </c>
      <c r="P52" s="18" t="s">
        <v>108</v>
      </c>
    </row>
    <row r="53" spans="2:16">
      <c r="B53" s="34" t="s">
        <v>130</v>
      </c>
      <c r="C53" s="34">
        <v>6</v>
      </c>
      <c r="D53" s="34" t="s">
        <v>265</v>
      </c>
      <c r="E53" s="34" t="b">
        <v>0</v>
      </c>
      <c r="F53" s="34">
        <v>6</v>
      </c>
      <c r="M53" s="32" t="str">
        <f t="shared" si="8"/>
        <v>DELETE FROM M_CATEGORY WHERE ID = 6;</v>
      </c>
      <c r="N53" s="32" t="str">
        <f t="shared" si="9"/>
        <v>INSERT INTO M_CATEGORY VALUES(</v>
      </c>
      <c r="O53" s="32" t="str">
        <f t="shared" si="10"/>
        <v>6,"Tool",FALSE</v>
      </c>
      <c r="P53" s="18" t="s">
        <v>108</v>
      </c>
    </row>
    <row r="54" spans="2:16">
      <c r="B54" s="34" t="s">
        <v>130</v>
      </c>
      <c r="C54" s="34">
        <v>7</v>
      </c>
      <c r="D54" s="34" t="s">
        <v>266</v>
      </c>
      <c r="E54" s="34" t="b">
        <v>0</v>
      </c>
      <c r="F54" s="34">
        <v>7</v>
      </c>
      <c r="M54" s="32" t="str">
        <f t="shared" si="8"/>
        <v>DELETE FROM M_CATEGORY WHERE ID = 7;</v>
      </c>
      <c r="N54" s="32" t="str">
        <f t="shared" si="9"/>
        <v>INSERT INTO M_CATEGORY VALUES(</v>
      </c>
      <c r="O54" s="32" t="str">
        <f t="shared" si="10"/>
        <v>7,"Could",FALSE</v>
      </c>
      <c r="P54" s="18" t="s">
        <v>108</v>
      </c>
    </row>
    <row r="55" spans="2:16">
      <c r="B55" s="34" t="s">
        <v>130</v>
      </c>
      <c r="C55" s="34">
        <v>8</v>
      </c>
      <c r="D55" s="34" t="s">
        <v>267</v>
      </c>
      <c r="E55" s="34" t="b">
        <v>0</v>
      </c>
      <c r="F55" s="34">
        <v>8</v>
      </c>
      <c r="M55" s="32" t="str">
        <f t="shared" si="8"/>
        <v>DELETE FROM M_CATEGORY WHERE ID = 8;</v>
      </c>
      <c r="N55" s="32" t="str">
        <f t="shared" si="9"/>
        <v>INSERT INTO M_CATEGORY VALUES(</v>
      </c>
      <c r="O55" s="32" t="str">
        <f t="shared" si="10"/>
        <v>8,"WebService",FALSE</v>
      </c>
      <c r="P55" s="18" t="s">
        <v>108</v>
      </c>
    </row>
    <row r="56" spans="2:16">
      <c r="B56" s="34" t="s">
        <v>130</v>
      </c>
      <c r="C56" s="34">
        <v>9</v>
      </c>
      <c r="D56" s="34" t="s">
        <v>268</v>
      </c>
      <c r="E56" s="34" t="b">
        <v>0</v>
      </c>
      <c r="F56" s="34">
        <v>9</v>
      </c>
      <c r="M56" s="32" t="str">
        <f t="shared" si="8"/>
        <v>DELETE FROM M_CATEGORY WHERE ID = 9;</v>
      </c>
      <c r="N56" s="32" t="str">
        <f t="shared" si="9"/>
        <v>INSERT INTO M_CATEGORY VALUES(</v>
      </c>
      <c r="O56" s="32" t="str">
        <f t="shared" si="10"/>
        <v>9,"Others",FALSE</v>
      </c>
      <c r="P56" s="18" t="s">
        <v>108</v>
      </c>
    </row>
    <row r="58" spans="2:16">
      <c r="B58" s="4" t="s">
        <v>5</v>
      </c>
      <c r="C58" s="15">
        <v>1</v>
      </c>
      <c r="D58" s="15">
        <v>2</v>
      </c>
      <c r="E58" s="15">
        <v>3</v>
      </c>
      <c r="F58" s="15">
        <v>4</v>
      </c>
      <c r="G58" s="15">
        <v>5</v>
      </c>
    </row>
    <row r="59" spans="2:16">
      <c r="B59" s="4" t="s">
        <v>6</v>
      </c>
      <c r="C59" s="16" t="s">
        <v>83</v>
      </c>
      <c r="D59" s="16" t="s">
        <v>119</v>
      </c>
      <c r="E59" s="16" t="s">
        <v>116</v>
      </c>
      <c r="F59" s="16" t="s">
        <v>103</v>
      </c>
      <c r="G59" s="16" t="s">
        <v>97</v>
      </c>
    </row>
    <row r="60" spans="2:16">
      <c r="B60" s="4" t="s">
        <v>7</v>
      </c>
      <c r="C60" s="16" t="s">
        <v>83</v>
      </c>
      <c r="D60" s="16" t="s">
        <v>27</v>
      </c>
      <c r="E60" s="16" t="s">
        <v>117</v>
      </c>
      <c r="F60" s="16" t="s">
        <v>105</v>
      </c>
      <c r="G60" s="16" t="s">
        <v>98</v>
      </c>
    </row>
    <row r="61" spans="2:16">
      <c r="B61" s="5" t="s">
        <v>8</v>
      </c>
      <c r="C61" s="16" t="s">
        <v>102</v>
      </c>
      <c r="D61" s="16" t="s">
        <v>17</v>
      </c>
      <c r="E61" s="16" t="s">
        <v>118</v>
      </c>
      <c r="F61" s="16" t="s">
        <v>17</v>
      </c>
      <c r="G61" s="16" t="s">
        <v>99</v>
      </c>
      <c r="M61" s="18" t="s">
        <v>106</v>
      </c>
      <c r="N61" s="18" t="s">
        <v>107</v>
      </c>
    </row>
    <row r="62" spans="2:16">
      <c r="B62" s="34" t="s">
        <v>111</v>
      </c>
      <c r="C62" s="34">
        <v>1</v>
      </c>
      <c r="D62" s="34" t="s">
        <v>131</v>
      </c>
      <c r="E62" s="35">
        <f t="shared" ref="E62:E93" si="11">VLOOKUP(H62,$D$48:$F$56,3,FALSE)</f>
        <v>1</v>
      </c>
      <c r="F62" s="34" t="s">
        <v>132</v>
      </c>
      <c r="G62" s="34" t="b">
        <v>0</v>
      </c>
      <c r="H62" s="18" t="s">
        <v>260</v>
      </c>
      <c r="I62" s="34">
        <v>1</v>
      </c>
      <c r="M62" s="32" t="str">
        <f>"DELETE FROM " &amp; $B62 &amp; " WHERE ID = " &amp; C62 &amp; ";"</f>
        <v>DELETE FROM M_WORD WHERE ID = 1;</v>
      </c>
      <c r="N62" s="32" t="str">
        <f>"INSERT INTO " &amp; $B62 &amp; " VALUES("</f>
        <v>INSERT INTO M_WORD VALUES(</v>
      </c>
      <c r="O62" s="32" t="str">
        <f xml:space="preserve"> IF(IFERROR(FIND("VAR",C$61),0)&gt;0,""""&amp; C62 &amp; """",C62) &amp; "," &amp; IF(IFERROR(FIND("VAR",D$61),0)&gt;0,""""&amp; D62 &amp; """",D62) &amp; "," &amp; IF(IFERROR(FIND("VAR",E$61),0)&gt;0,""""&amp; E62 &amp; """",E62) &amp; "," &amp;  IF(IFERROR(FIND("VAR",F$61),0)&gt;0,""""&amp; F62 &amp; """",F62)&amp; "," &amp;  IF(IFERROR(FIND("VAR",G$61),0)&gt;0,""""&amp; G62 &amp; """",G62)</f>
        <v>1,"HTML",1,"web",FALSE</v>
      </c>
      <c r="P62" s="18" t="s">
        <v>108</v>
      </c>
    </row>
    <row r="63" spans="2:16">
      <c r="B63" s="34" t="s">
        <v>111</v>
      </c>
      <c r="C63" s="34">
        <v>2</v>
      </c>
      <c r="D63" s="34" t="s">
        <v>133</v>
      </c>
      <c r="E63" s="35">
        <f t="shared" si="11"/>
        <v>1</v>
      </c>
      <c r="F63" s="34" t="s">
        <v>132</v>
      </c>
      <c r="G63" s="34" t="b">
        <v>0</v>
      </c>
      <c r="H63" s="18" t="s">
        <v>260</v>
      </c>
      <c r="I63" s="34">
        <v>2</v>
      </c>
      <c r="M63" s="32" t="str">
        <f t="shared" ref="M63:M66" si="12">"DELETE FROM " &amp; $B63 &amp; " WHERE ID = " &amp; C63 &amp; ";"</f>
        <v>DELETE FROM M_WORD WHERE ID = 2;</v>
      </c>
      <c r="N63" s="32" t="str">
        <f t="shared" ref="N63:N126" si="13">"INSERT INTO " &amp; $B63 &amp; " VALUES("</f>
        <v>INSERT INTO M_WORD VALUES(</v>
      </c>
      <c r="O63" s="32" t="str">
        <f t="shared" ref="O63:O66" si="14" xml:space="preserve"> IF(IFERROR(FIND("VAR",C$61),0)&gt;0,""""&amp; C63 &amp; """",C63) &amp; "," &amp; IF(IFERROR(FIND("VAR",D$61),0)&gt;0,""""&amp; D63 &amp; """",D63) &amp; "," &amp; IF(IFERROR(FIND("VAR",E$61),0)&gt;0,""""&amp; E63 &amp; """",E63) &amp; "," &amp;  IF(IFERROR(FIND("VAR",F$61),0)&gt;0,""""&amp; F63 &amp; """",F63)&amp; "," &amp;  IF(IFERROR(FIND("VAR",G$61),0)&gt;0,""""&amp; G63 &amp; """",G63)</f>
        <v>2,"HTML5",1,"web",FALSE</v>
      </c>
      <c r="P63" s="18" t="s">
        <v>108</v>
      </c>
    </row>
    <row r="64" spans="2:16">
      <c r="B64" s="34" t="s">
        <v>111</v>
      </c>
      <c r="C64" s="34">
        <v>3</v>
      </c>
      <c r="D64" s="34" t="s">
        <v>134</v>
      </c>
      <c r="E64" s="35">
        <f t="shared" si="11"/>
        <v>1</v>
      </c>
      <c r="F64" s="34" t="s">
        <v>132</v>
      </c>
      <c r="G64" s="34" t="b">
        <v>0</v>
      </c>
      <c r="H64" s="18" t="s">
        <v>260</v>
      </c>
      <c r="I64" s="34">
        <v>3</v>
      </c>
      <c r="M64" s="32" t="str">
        <f t="shared" si="12"/>
        <v>DELETE FROM M_WORD WHERE ID = 3;</v>
      </c>
      <c r="N64" s="32" t="str">
        <f t="shared" si="13"/>
        <v>INSERT INTO M_WORD VALUES(</v>
      </c>
      <c r="O64" s="32" t="str">
        <f t="shared" si="14"/>
        <v>3,"CSS",1,"web",FALSE</v>
      </c>
      <c r="P64" s="18" t="s">
        <v>108</v>
      </c>
    </row>
    <row r="65" spans="2:16">
      <c r="B65" s="34" t="s">
        <v>111</v>
      </c>
      <c r="C65" s="34">
        <v>4</v>
      </c>
      <c r="D65" s="34" t="s">
        <v>135</v>
      </c>
      <c r="E65" s="35">
        <f t="shared" si="11"/>
        <v>1</v>
      </c>
      <c r="F65" s="34" t="s">
        <v>132</v>
      </c>
      <c r="G65" s="34" t="b">
        <v>0</v>
      </c>
      <c r="H65" s="18" t="s">
        <v>260</v>
      </c>
      <c r="I65" s="34">
        <v>4</v>
      </c>
      <c r="M65" s="32" t="str">
        <f t="shared" si="12"/>
        <v>DELETE FROM M_WORD WHERE ID = 4;</v>
      </c>
      <c r="N65" s="32" t="str">
        <f t="shared" si="13"/>
        <v>INSERT INTO M_WORD VALUES(</v>
      </c>
      <c r="O65" s="32" t="str">
        <f t="shared" si="14"/>
        <v>4,"CSS3",1,"web",FALSE</v>
      </c>
      <c r="P65" s="18" t="s">
        <v>108</v>
      </c>
    </row>
    <row r="66" spans="2:16">
      <c r="B66" s="34" t="s">
        <v>111</v>
      </c>
      <c r="C66" s="34">
        <v>5</v>
      </c>
      <c r="D66" s="34" t="s">
        <v>112</v>
      </c>
      <c r="E66" s="35">
        <f t="shared" si="11"/>
        <v>1</v>
      </c>
      <c r="F66" s="34" t="s">
        <v>132</v>
      </c>
      <c r="G66" s="34" t="b">
        <v>0</v>
      </c>
      <c r="H66" s="18" t="s">
        <v>260</v>
      </c>
      <c r="I66" s="34">
        <v>5</v>
      </c>
      <c r="M66" s="32" t="str">
        <f t="shared" si="12"/>
        <v>DELETE FROM M_WORD WHERE ID = 5;</v>
      </c>
      <c r="N66" s="32" t="str">
        <f t="shared" si="13"/>
        <v>INSERT INTO M_WORD VALUES(</v>
      </c>
      <c r="O66" s="32" t="str">
        <f t="shared" si="14"/>
        <v>5,"Java",1,"web",FALSE</v>
      </c>
      <c r="P66" s="18" t="s">
        <v>108</v>
      </c>
    </row>
    <row r="67" spans="2:16">
      <c r="B67" s="34" t="s">
        <v>111</v>
      </c>
      <c r="C67" s="34">
        <v>6</v>
      </c>
      <c r="D67" s="34" t="s">
        <v>136</v>
      </c>
      <c r="E67" s="35">
        <f t="shared" si="11"/>
        <v>1</v>
      </c>
      <c r="F67" s="34" t="s">
        <v>132</v>
      </c>
      <c r="G67" s="34" t="b">
        <v>0</v>
      </c>
      <c r="H67" s="18" t="s">
        <v>260</v>
      </c>
      <c r="I67" s="34">
        <v>6</v>
      </c>
      <c r="M67" s="32" t="str">
        <f t="shared" ref="M67:M130" si="15">"DELETE FROM " &amp; $B67 &amp; " WHERE ID = " &amp; C67 &amp; ";"</f>
        <v>DELETE FROM M_WORD WHERE ID = 6;</v>
      </c>
      <c r="N67" s="32" t="str">
        <f t="shared" si="13"/>
        <v>INSERT INTO M_WORD VALUES(</v>
      </c>
      <c r="O67" s="32" t="str">
        <f t="shared" ref="O67:O130" si="16" xml:space="preserve"> IF(IFERROR(FIND("VAR",C$61),0)&gt;0,""""&amp; C67 &amp; """",C67) &amp; "," &amp; IF(IFERROR(FIND("VAR",D$61),0)&gt;0,""""&amp; D67 &amp; """",D67) &amp; "," &amp; IF(IFERROR(FIND("VAR",E$61),0)&gt;0,""""&amp; E67 &amp; """",E67) &amp; "," &amp;  IF(IFERROR(FIND("VAR",F$61),0)&gt;0,""""&amp; F67 &amp; """",F67)&amp; "," &amp;  IF(IFERROR(FIND("VAR",G$61),0)&gt;0,""""&amp; G67 &amp; """",G67)</f>
        <v>6,"PHP",1,"web",FALSE</v>
      </c>
      <c r="P67" s="18" t="s">
        <v>108</v>
      </c>
    </row>
    <row r="68" spans="2:16">
      <c r="B68" s="34" t="s">
        <v>111</v>
      </c>
      <c r="C68" s="34">
        <v>7</v>
      </c>
      <c r="D68" s="34" t="s">
        <v>137</v>
      </c>
      <c r="E68" s="35">
        <f t="shared" si="11"/>
        <v>1</v>
      </c>
      <c r="F68" s="34" t="s">
        <v>132</v>
      </c>
      <c r="G68" s="34" t="b">
        <v>0</v>
      </c>
      <c r="H68" s="18" t="s">
        <v>260</v>
      </c>
      <c r="I68" s="34">
        <v>7</v>
      </c>
      <c r="M68" s="32" t="str">
        <f t="shared" si="15"/>
        <v>DELETE FROM M_WORD WHERE ID = 7;</v>
      </c>
      <c r="N68" s="32" t="str">
        <f t="shared" si="13"/>
        <v>INSERT INTO M_WORD VALUES(</v>
      </c>
      <c r="O68" s="32" t="str">
        <f t="shared" si="16"/>
        <v>7,"Javascript",1,"web",FALSE</v>
      </c>
      <c r="P68" s="18" t="s">
        <v>108</v>
      </c>
    </row>
    <row r="69" spans="2:16">
      <c r="B69" s="34" t="s">
        <v>111</v>
      </c>
      <c r="C69" s="34">
        <v>8</v>
      </c>
      <c r="D69" s="34" t="s">
        <v>138</v>
      </c>
      <c r="E69" s="35">
        <f t="shared" si="11"/>
        <v>1</v>
      </c>
      <c r="F69" s="34" t="s">
        <v>132</v>
      </c>
      <c r="G69" s="34" t="b">
        <v>0</v>
      </c>
      <c r="H69" s="18" t="s">
        <v>260</v>
      </c>
      <c r="I69" s="34">
        <v>8</v>
      </c>
      <c r="M69" s="32" t="str">
        <f t="shared" si="15"/>
        <v>DELETE FROM M_WORD WHERE ID = 8;</v>
      </c>
      <c r="N69" s="32" t="str">
        <f t="shared" si="13"/>
        <v>INSERT INTO M_WORD VALUES(</v>
      </c>
      <c r="O69" s="32" t="str">
        <f t="shared" si="16"/>
        <v>8,"Ruby",1,"web",FALSE</v>
      </c>
      <c r="P69" s="18" t="s">
        <v>108</v>
      </c>
    </row>
    <row r="70" spans="2:16">
      <c r="B70" s="34" t="s">
        <v>111</v>
      </c>
      <c r="C70" s="34">
        <v>9</v>
      </c>
      <c r="D70" s="34" t="s">
        <v>139</v>
      </c>
      <c r="E70" s="35">
        <f t="shared" si="11"/>
        <v>1</v>
      </c>
      <c r="F70" s="34" t="s">
        <v>132</v>
      </c>
      <c r="G70" s="34" t="b">
        <v>0</v>
      </c>
      <c r="H70" s="18" t="s">
        <v>260</v>
      </c>
      <c r="I70" s="34">
        <v>9</v>
      </c>
      <c r="M70" s="32" t="str">
        <f t="shared" si="15"/>
        <v>DELETE FROM M_WORD WHERE ID = 9;</v>
      </c>
      <c r="N70" s="32" t="str">
        <f t="shared" si="13"/>
        <v>INSERT INTO M_WORD VALUES(</v>
      </c>
      <c r="O70" s="32" t="str">
        <f t="shared" si="16"/>
        <v>9,"Python",1,"web",FALSE</v>
      </c>
      <c r="P70" s="18" t="s">
        <v>108</v>
      </c>
    </row>
    <row r="71" spans="2:16">
      <c r="B71" s="34" t="s">
        <v>111</v>
      </c>
      <c r="C71" s="34">
        <v>10</v>
      </c>
      <c r="D71" s="34" t="s">
        <v>140</v>
      </c>
      <c r="E71" s="35">
        <f t="shared" si="11"/>
        <v>1</v>
      </c>
      <c r="F71" s="34"/>
      <c r="G71" s="34" t="b">
        <v>0</v>
      </c>
      <c r="H71" s="18" t="s">
        <v>260</v>
      </c>
      <c r="I71" s="34">
        <v>10</v>
      </c>
      <c r="M71" s="32" t="str">
        <f t="shared" si="15"/>
        <v>DELETE FROM M_WORD WHERE ID = 10;</v>
      </c>
      <c r="N71" s="32" t="str">
        <f t="shared" si="13"/>
        <v>INSERT INTO M_WORD VALUES(</v>
      </c>
      <c r="O71" s="32" t="str">
        <f t="shared" si="16"/>
        <v>10,"C",1,"",FALSE</v>
      </c>
      <c r="P71" s="18" t="s">
        <v>108</v>
      </c>
    </row>
    <row r="72" spans="2:16">
      <c r="B72" s="34" t="s">
        <v>111</v>
      </c>
      <c r="C72" s="34">
        <v>11</v>
      </c>
      <c r="D72" s="34" t="s">
        <v>141</v>
      </c>
      <c r="E72" s="35">
        <f t="shared" si="11"/>
        <v>1</v>
      </c>
      <c r="F72" s="34" t="s">
        <v>142</v>
      </c>
      <c r="G72" s="34" t="b">
        <v>0</v>
      </c>
      <c r="H72" s="18" t="s">
        <v>260</v>
      </c>
      <c r="I72" s="34">
        <v>11</v>
      </c>
      <c r="M72" s="32" t="str">
        <f t="shared" si="15"/>
        <v>DELETE FROM M_WORD WHERE ID = 11;</v>
      </c>
      <c r="N72" s="32" t="str">
        <f t="shared" si="13"/>
        <v>INSERT INTO M_WORD VALUES(</v>
      </c>
      <c r="O72" s="32" t="str">
        <f t="shared" si="16"/>
        <v>11,"C#",1,"MicroSoft",FALSE</v>
      </c>
      <c r="P72" s="18" t="s">
        <v>108</v>
      </c>
    </row>
    <row r="73" spans="2:16">
      <c r="B73" s="34" t="s">
        <v>111</v>
      </c>
      <c r="C73" s="34">
        <v>12</v>
      </c>
      <c r="D73" s="34" t="s">
        <v>143</v>
      </c>
      <c r="E73" s="35">
        <f t="shared" si="11"/>
        <v>1</v>
      </c>
      <c r="F73" s="34" t="s">
        <v>144</v>
      </c>
      <c r="G73" s="34" t="b">
        <v>0</v>
      </c>
      <c r="H73" s="18" t="s">
        <v>260</v>
      </c>
      <c r="I73" s="34">
        <v>12</v>
      </c>
      <c r="M73" s="32" t="str">
        <f t="shared" si="15"/>
        <v>DELETE FROM M_WORD WHERE ID = 12;</v>
      </c>
      <c r="N73" s="32" t="str">
        <f t="shared" si="13"/>
        <v>INSERT INTO M_WORD VALUES(</v>
      </c>
      <c r="O73" s="32" t="str">
        <f t="shared" si="16"/>
        <v>12,"Go",1,"Google",FALSE</v>
      </c>
      <c r="P73" s="18" t="s">
        <v>108</v>
      </c>
    </row>
    <row r="74" spans="2:16">
      <c r="B74" s="34" t="s">
        <v>111</v>
      </c>
      <c r="C74" s="34">
        <v>13</v>
      </c>
      <c r="D74" s="34" t="s">
        <v>145</v>
      </c>
      <c r="E74" s="35">
        <f t="shared" si="11"/>
        <v>1</v>
      </c>
      <c r="F74" s="34" t="s">
        <v>146</v>
      </c>
      <c r="G74" s="34" t="b">
        <v>0</v>
      </c>
      <c r="H74" s="18" t="s">
        <v>260</v>
      </c>
      <c r="I74" s="34">
        <v>13</v>
      </c>
      <c r="M74" s="32" t="str">
        <f t="shared" si="15"/>
        <v>DELETE FROM M_WORD WHERE ID = 13;</v>
      </c>
      <c r="N74" s="32" t="str">
        <f t="shared" si="13"/>
        <v>INSERT INTO M_WORD VALUES(</v>
      </c>
      <c r="O74" s="32" t="str">
        <f t="shared" si="16"/>
        <v>13,"Swift",1,"iOS",FALSE</v>
      </c>
      <c r="P74" s="18" t="s">
        <v>108</v>
      </c>
    </row>
    <row r="75" spans="2:16">
      <c r="B75" s="34" t="s">
        <v>111</v>
      </c>
      <c r="C75" s="34">
        <v>14</v>
      </c>
      <c r="D75" s="34" t="s">
        <v>147</v>
      </c>
      <c r="E75" s="35">
        <f t="shared" si="11"/>
        <v>1</v>
      </c>
      <c r="F75" s="34" t="s">
        <v>146</v>
      </c>
      <c r="G75" s="34" t="b">
        <v>0</v>
      </c>
      <c r="H75" s="18" t="s">
        <v>260</v>
      </c>
      <c r="I75" s="34">
        <v>14</v>
      </c>
      <c r="M75" s="32" t="str">
        <f t="shared" si="15"/>
        <v>DELETE FROM M_WORD WHERE ID = 14;</v>
      </c>
      <c r="N75" s="32" t="str">
        <f t="shared" si="13"/>
        <v>INSERT INTO M_WORD VALUES(</v>
      </c>
      <c r="O75" s="32" t="str">
        <f t="shared" si="16"/>
        <v>14,"Objective-C",1,"iOS",FALSE</v>
      </c>
      <c r="P75" s="18" t="s">
        <v>108</v>
      </c>
    </row>
    <row r="76" spans="2:16">
      <c r="B76" s="34" t="s">
        <v>111</v>
      </c>
      <c r="C76" s="34">
        <v>15</v>
      </c>
      <c r="D76" s="34" t="s">
        <v>148</v>
      </c>
      <c r="E76" s="35">
        <f t="shared" si="11"/>
        <v>1</v>
      </c>
      <c r="F76" s="34" t="s">
        <v>149</v>
      </c>
      <c r="G76" s="34" t="b">
        <v>0</v>
      </c>
      <c r="H76" s="18" t="s">
        <v>260</v>
      </c>
      <c r="I76" s="34">
        <v>15</v>
      </c>
      <c r="M76" s="32" t="str">
        <f t="shared" si="15"/>
        <v>DELETE FROM M_WORD WHERE ID = 15;</v>
      </c>
      <c r="N76" s="32" t="str">
        <f t="shared" si="13"/>
        <v>INSERT INTO M_WORD VALUES(</v>
      </c>
      <c r="O76" s="32" t="str">
        <f t="shared" si="16"/>
        <v>15,"Scala",1,"関数型|Java",FALSE</v>
      </c>
      <c r="P76" s="18" t="s">
        <v>108</v>
      </c>
    </row>
    <row r="77" spans="2:16">
      <c r="B77" s="34" t="s">
        <v>111</v>
      </c>
      <c r="C77" s="34">
        <v>16</v>
      </c>
      <c r="D77" s="34" t="s">
        <v>150</v>
      </c>
      <c r="E77" s="35">
        <f t="shared" si="11"/>
        <v>1</v>
      </c>
      <c r="F77" s="34"/>
      <c r="G77" s="34" t="b">
        <v>0</v>
      </c>
      <c r="H77" s="18" t="s">
        <v>260</v>
      </c>
      <c r="I77" s="34">
        <v>16</v>
      </c>
      <c r="M77" s="32" t="str">
        <f t="shared" si="15"/>
        <v>DELETE FROM M_WORD WHERE ID = 16;</v>
      </c>
      <c r="N77" s="32" t="str">
        <f t="shared" si="13"/>
        <v>INSERT INTO M_WORD VALUES(</v>
      </c>
      <c r="O77" s="32" t="str">
        <f t="shared" si="16"/>
        <v>16,"COBOL",1,"",FALSE</v>
      </c>
      <c r="P77" s="18" t="s">
        <v>108</v>
      </c>
    </row>
    <row r="78" spans="2:16">
      <c r="B78" s="34" t="s">
        <v>111</v>
      </c>
      <c r="C78" s="34">
        <v>17</v>
      </c>
      <c r="D78" s="34" t="s">
        <v>151</v>
      </c>
      <c r="E78" s="35">
        <f t="shared" si="11"/>
        <v>1</v>
      </c>
      <c r="F78" s="34" t="s">
        <v>142</v>
      </c>
      <c r="G78" s="34" t="b">
        <v>0</v>
      </c>
      <c r="H78" s="18" t="s">
        <v>260</v>
      </c>
      <c r="I78" s="34">
        <v>17</v>
      </c>
      <c r="M78" s="32" t="str">
        <f t="shared" si="15"/>
        <v>DELETE FROM M_WORD WHERE ID = 17;</v>
      </c>
      <c r="N78" s="32" t="str">
        <f t="shared" si="13"/>
        <v>INSERT INTO M_WORD VALUES(</v>
      </c>
      <c r="O78" s="32" t="str">
        <f t="shared" si="16"/>
        <v>17,"VB",1,"MicroSoft",FALSE</v>
      </c>
      <c r="P78" s="18" t="s">
        <v>108</v>
      </c>
    </row>
    <row r="79" spans="2:16">
      <c r="B79" s="34" t="s">
        <v>111</v>
      </c>
      <c r="C79" s="34">
        <v>18</v>
      </c>
      <c r="D79" s="34" t="s">
        <v>152</v>
      </c>
      <c r="E79" s="35">
        <f t="shared" si="11"/>
        <v>1</v>
      </c>
      <c r="F79" s="34" t="s">
        <v>142</v>
      </c>
      <c r="G79" s="34" t="b">
        <v>0</v>
      </c>
      <c r="H79" s="18" t="s">
        <v>260</v>
      </c>
      <c r="I79" s="34">
        <v>18</v>
      </c>
      <c r="M79" s="32" t="str">
        <f t="shared" si="15"/>
        <v>DELETE FROM M_WORD WHERE ID = 18;</v>
      </c>
      <c r="N79" s="32" t="str">
        <f t="shared" si="13"/>
        <v>INSERT INTO M_WORD VALUES(</v>
      </c>
      <c r="O79" s="32" t="str">
        <f t="shared" si="16"/>
        <v>18,"VisualBasic",1,"MicroSoft",FALSE</v>
      </c>
      <c r="P79" s="18" t="s">
        <v>108</v>
      </c>
    </row>
    <row r="80" spans="2:16">
      <c r="B80" s="34" t="s">
        <v>111</v>
      </c>
      <c r="C80" s="34">
        <v>19</v>
      </c>
      <c r="D80" s="34" t="s">
        <v>153</v>
      </c>
      <c r="E80" s="35">
        <f t="shared" si="11"/>
        <v>2</v>
      </c>
      <c r="F80" s="34" t="s">
        <v>132</v>
      </c>
      <c r="G80" s="34" t="b">
        <v>0</v>
      </c>
      <c r="H80" s="18" t="s">
        <v>261</v>
      </c>
      <c r="I80" s="34">
        <v>19</v>
      </c>
      <c r="M80" s="32" t="str">
        <f t="shared" si="15"/>
        <v>DELETE FROM M_WORD WHERE ID = 19;</v>
      </c>
      <c r="N80" s="32" t="str">
        <f t="shared" si="13"/>
        <v>INSERT INTO M_WORD VALUES(</v>
      </c>
      <c r="O80" s="32" t="str">
        <f t="shared" si="16"/>
        <v>19,"COMPASS",2,"web",FALSE</v>
      </c>
      <c r="P80" s="18" t="s">
        <v>108</v>
      </c>
    </row>
    <row r="81" spans="2:16">
      <c r="B81" s="34" t="s">
        <v>111</v>
      </c>
      <c r="C81" s="34">
        <v>20</v>
      </c>
      <c r="D81" s="34" t="s">
        <v>154</v>
      </c>
      <c r="E81" s="35">
        <f t="shared" si="11"/>
        <v>2</v>
      </c>
      <c r="F81" s="34" t="s">
        <v>132</v>
      </c>
      <c r="G81" s="34" t="b">
        <v>0</v>
      </c>
      <c r="H81" s="18" t="s">
        <v>261</v>
      </c>
      <c r="I81" s="34">
        <v>20</v>
      </c>
      <c r="M81" s="32" t="str">
        <f t="shared" si="15"/>
        <v>DELETE FROM M_WORD WHERE ID = 20;</v>
      </c>
      <c r="N81" s="32" t="str">
        <f t="shared" si="13"/>
        <v>INSERT INTO M_WORD VALUES(</v>
      </c>
      <c r="O81" s="32" t="str">
        <f t="shared" si="16"/>
        <v>20,"SASS",2,"web",FALSE</v>
      </c>
      <c r="P81" s="18" t="s">
        <v>108</v>
      </c>
    </row>
    <row r="82" spans="2:16">
      <c r="B82" s="34" t="s">
        <v>111</v>
      </c>
      <c r="C82" s="34">
        <v>21</v>
      </c>
      <c r="D82" s="34" t="s">
        <v>155</v>
      </c>
      <c r="E82" s="35">
        <f t="shared" si="11"/>
        <v>2</v>
      </c>
      <c r="F82" s="34" t="s">
        <v>142</v>
      </c>
      <c r="G82" s="34" t="b">
        <v>0</v>
      </c>
      <c r="H82" s="18" t="s">
        <v>261</v>
      </c>
      <c r="I82" s="34">
        <v>21</v>
      </c>
      <c r="M82" s="32" t="str">
        <f t="shared" si="15"/>
        <v>DELETE FROM M_WORD WHERE ID = 21;</v>
      </c>
      <c r="N82" s="32" t="str">
        <f t="shared" si="13"/>
        <v>INSERT INTO M_WORD VALUES(</v>
      </c>
      <c r="O82" s="32" t="str">
        <f t="shared" si="16"/>
        <v>21,"VBA",2,"MicroSoft",FALSE</v>
      </c>
      <c r="P82" s="18" t="s">
        <v>108</v>
      </c>
    </row>
    <row r="83" spans="2:16">
      <c r="B83" s="34" t="s">
        <v>111</v>
      </c>
      <c r="C83" s="34">
        <v>22</v>
      </c>
      <c r="D83" s="34" t="s">
        <v>156</v>
      </c>
      <c r="E83" s="35">
        <f t="shared" si="11"/>
        <v>2</v>
      </c>
      <c r="F83" s="34" t="s">
        <v>112</v>
      </c>
      <c r="G83" s="34" t="b">
        <v>0</v>
      </c>
      <c r="H83" s="18" t="s">
        <v>261</v>
      </c>
      <c r="I83" s="34">
        <v>22</v>
      </c>
      <c r="M83" s="32" t="str">
        <f t="shared" si="15"/>
        <v>DELETE FROM M_WORD WHERE ID = 22;</v>
      </c>
      <c r="N83" s="32" t="str">
        <f t="shared" si="13"/>
        <v>INSERT INTO M_WORD VALUES(</v>
      </c>
      <c r="O83" s="32" t="str">
        <f t="shared" si="16"/>
        <v>22,"Struts",2,"Java",FALSE</v>
      </c>
      <c r="P83" s="18" t="s">
        <v>108</v>
      </c>
    </row>
    <row r="84" spans="2:16">
      <c r="B84" s="34" t="s">
        <v>111</v>
      </c>
      <c r="C84" s="34">
        <v>23</v>
      </c>
      <c r="D84" s="34" t="s">
        <v>157</v>
      </c>
      <c r="E84" s="35">
        <f t="shared" si="11"/>
        <v>2</v>
      </c>
      <c r="F84" s="34" t="s">
        <v>112</v>
      </c>
      <c r="G84" s="34" t="b">
        <v>0</v>
      </c>
      <c r="H84" s="18" t="s">
        <v>261</v>
      </c>
      <c r="I84" s="34">
        <v>23</v>
      </c>
      <c r="M84" s="32" t="str">
        <f t="shared" si="15"/>
        <v>DELETE FROM M_WORD WHERE ID = 23;</v>
      </c>
      <c r="N84" s="32" t="str">
        <f t="shared" si="13"/>
        <v>INSERT INTO M_WORD VALUES(</v>
      </c>
      <c r="O84" s="32" t="str">
        <f t="shared" si="16"/>
        <v>23,"Seasar2",2,"Java",FALSE</v>
      </c>
      <c r="P84" s="18" t="s">
        <v>108</v>
      </c>
    </row>
    <row r="85" spans="2:16">
      <c r="B85" s="34" t="s">
        <v>111</v>
      </c>
      <c r="C85" s="34">
        <v>24</v>
      </c>
      <c r="D85" s="34" t="s">
        <v>158</v>
      </c>
      <c r="E85" s="35">
        <f t="shared" si="11"/>
        <v>2</v>
      </c>
      <c r="F85" s="34" t="s">
        <v>112</v>
      </c>
      <c r="G85" s="34" t="b">
        <v>0</v>
      </c>
      <c r="H85" s="18" t="s">
        <v>261</v>
      </c>
      <c r="I85" s="34">
        <v>24</v>
      </c>
      <c r="M85" s="32" t="str">
        <f t="shared" si="15"/>
        <v>DELETE FROM M_WORD WHERE ID = 24;</v>
      </c>
      <c r="N85" s="32" t="str">
        <f t="shared" si="13"/>
        <v>INSERT INTO M_WORD VALUES(</v>
      </c>
      <c r="O85" s="32" t="str">
        <f t="shared" si="16"/>
        <v>24,"Spring",2,"Java",FALSE</v>
      </c>
      <c r="P85" s="18" t="s">
        <v>108</v>
      </c>
    </row>
    <row r="86" spans="2:16">
      <c r="B86" s="34" t="s">
        <v>111</v>
      </c>
      <c r="C86" s="34">
        <v>25</v>
      </c>
      <c r="D86" s="34" t="s">
        <v>159</v>
      </c>
      <c r="E86" s="35">
        <f t="shared" si="11"/>
        <v>2</v>
      </c>
      <c r="F86" s="34" t="s">
        <v>160</v>
      </c>
      <c r="G86" s="34" t="b">
        <v>0</v>
      </c>
      <c r="H86" s="18" t="s">
        <v>261</v>
      </c>
      <c r="I86" s="34">
        <v>25</v>
      </c>
      <c r="M86" s="32" t="str">
        <f t="shared" si="15"/>
        <v>DELETE FROM M_WORD WHERE ID = 25;</v>
      </c>
      <c r="N86" s="32" t="str">
        <f t="shared" si="13"/>
        <v>INSERT INTO M_WORD VALUES(</v>
      </c>
      <c r="O86" s="32" t="str">
        <f t="shared" si="16"/>
        <v>25,"Hibernate",2,"Java|O/R Mapper",FALSE</v>
      </c>
      <c r="P86" s="18" t="s">
        <v>108</v>
      </c>
    </row>
    <row r="87" spans="2:16">
      <c r="B87" s="34" t="s">
        <v>111</v>
      </c>
      <c r="C87" s="34">
        <v>26</v>
      </c>
      <c r="D87" s="34" t="s">
        <v>161</v>
      </c>
      <c r="E87" s="35">
        <f t="shared" si="11"/>
        <v>2</v>
      </c>
      <c r="F87" s="34" t="s">
        <v>160</v>
      </c>
      <c r="G87" s="34" t="b">
        <v>0</v>
      </c>
      <c r="H87" s="18" t="s">
        <v>261</v>
      </c>
      <c r="I87" s="34">
        <v>26</v>
      </c>
      <c r="M87" s="32" t="str">
        <f t="shared" si="15"/>
        <v>DELETE FROM M_WORD WHERE ID = 26;</v>
      </c>
      <c r="N87" s="32" t="str">
        <f t="shared" si="13"/>
        <v>INSERT INTO M_WORD VALUES(</v>
      </c>
      <c r="O87" s="32" t="str">
        <f t="shared" si="16"/>
        <v>26,"MyBatis",2,"Java|O/R Mapper",FALSE</v>
      </c>
      <c r="P87" s="18" t="s">
        <v>108</v>
      </c>
    </row>
    <row r="88" spans="2:16">
      <c r="B88" s="34" t="s">
        <v>111</v>
      </c>
      <c r="C88" s="34">
        <v>27</v>
      </c>
      <c r="D88" s="34" t="s">
        <v>162</v>
      </c>
      <c r="E88" s="35">
        <f t="shared" si="11"/>
        <v>2</v>
      </c>
      <c r="F88" s="34" t="s">
        <v>136</v>
      </c>
      <c r="G88" s="34" t="b">
        <v>0</v>
      </c>
      <c r="H88" s="18" t="s">
        <v>261</v>
      </c>
      <c r="I88" s="34">
        <v>27</v>
      </c>
      <c r="M88" s="32" t="str">
        <f t="shared" si="15"/>
        <v>DELETE FROM M_WORD WHERE ID = 27;</v>
      </c>
      <c r="N88" s="32" t="str">
        <f t="shared" si="13"/>
        <v>INSERT INTO M_WORD VALUES(</v>
      </c>
      <c r="O88" s="32" t="str">
        <f t="shared" si="16"/>
        <v>27,"CakePHP",2,"PHP",FALSE</v>
      </c>
      <c r="P88" s="18" t="s">
        <v>108</v>
      </c>
    </row>
    <row r="89" spans="2:16">
      <c r="B89" s="34" t="s">
        <v>111</v>
      </c>
      <c r="C89" s="34">
        <v>28</v>
      </c>
      <c r="D89" s="34" t="s">
        <v>163</v>
      </c>
      <c r="E89" s="35">
        <f t="shared" si="11"/>
        <v>2</v>
      </c>
      <c r="F89" s="34" t="s">
        <v>136</v>
      </c>
      <c r="G89" s="34" t="b">
        <v>0</v>
      </c>
      <c r="H89" s="18" t="s">
        <v>261</v>
      </c>
      <c r="I89" s="34">
        <v>28</v>
      </c>
      <c r="M89" s="32" t="str">
        <f t="shared" si="15"/>
        <v>DELETE FROM M_WORD WHERE ID = 28;</v>
      </c>
      <c r="N89" s="32" t="str">
        <f t="shared" si="13"/>
        <v>INSERT INTO M_WORD VALUES(</v>
      </c>
      <c r="O89" s="32" t="str">
        <f t="shared" si="16"/>
        <v>28,"Symfony",2,"PHP",FALSE</v>
      </c>
      <c r="P89" s="18" t="s">
        <v>108</v>
      </c>
    </row>
    <row r="90" spans="2:16">
      <c r="B90" s="34" t="s">
        <v>111</v>
      </c>
      <c r="C90" s="34">
        <v>29</v>
      </c>
      <c r="D90" s="34" t="s">
        <v>164</v>
      </c>
      <c r="E90" s="35">
        <f t="shared" si="11"/>
        <v>2</v>
      </c>
      <c r="F90" s="34" t="s">
        <v>136</v>
      </c>
      <c r="G90" s="34" t="b">
        <v>0</v>
      </c>
      <c r="H90" s="18" t="s">
        <v>261</v>
      </c>
      <c r="I90" s="34">
        <v>29</v>
      </c>
      <c r="M90" s="32" t="str">
        <f t="shared" si="15"/>
        <v>DELETE FROM M_WORD WHERE ID = 29;</v>
      </c>
      <c r="N90" s="32" t="str">
        <f t="shared" si="13"/>
        <v>INSERT INTO M_WORD VALUES(</v>
      </c>
      <c r="O90" s="32" t="str">
        <f t="shared" si="16"/>
        <v>29,"CodeIgniter",2,"PHP",FALSE</v>
      </c>
      <c r="P90" s="18" t="s">
        <v>108</v>
      </c>
    </row>
    <row r="91" spans="2:16">
      <c r="B91" s="34" t="s">
        <v>111</v>
      </c>
      <c r="C91" s="34">
        <v>30</v>
      </c>
      <c r="D91" s="34" t="s">
        <v>165</v>
      </c>
      <c r="E91" s="35">
        <f t="shared" si="11"/>
        <v>2</v>
      </c>
      <c r="F91" s="34" t="s">
        <v>136</v>
      </c>
      <c r="G91" s="34" t="b">
        <v>0</v>
      </c>
      <c r="H91" s="18" t="s">
        <v>261</v>
      </c>
      <c r="I91" s="34">
        <v>30</v>
      </c>
      <c r="M91" s="32" t="str">
        <f t="shared" si="15"/>
        <v>DELETE FROM M_WORD WHERE ID = 30;</v>
      </c>
      <c r="N91" s="32" t="str">
        <f t="shared" si="13"/>
        <v>INSERT INTO M_WORD VALUES(</v>
      </c>
      <c r="O91" s="32" t="str">
        <f t="shared" si="16"/>
        <v>30,"Laravel",2,"PHP",FALSE</v>
      </c>
      <c r="P91" s="18" t="s">
        <v>108</v>
      </c>
    </row>
    <row r="92" spans="2:16">
      <c r="B92" s="34" t="s">
        <v>111</v>
      </c>
      <c r="C92" s="34">
        <v>31</v>
      </c>
      <c r="D92" s="34" t="s">
        <v>166</v>
      </c>
      <c r="E92" s="35">
        <f t="shared" si="11"/>
        <v>2</v>
      </c>
      <c r="F92" s="34" t="s">
        <v>136</v>
      </c>
      <c r="G92" s="34" t="b">
        <v>0</v>
      </c>
      <c r="H92" s="18" t="s">
        <v>261</v>
      </c>
      <c r="I92" s="34">
        <v>31</v>
      </c>
      <c r="M92" s="32" t="str">
        <f t="shared" si="15"/>
        <v>DELETE FROM M_WORD WHERE ID = 31;</v>
      </c>
      <c r="N92" s="32" t="str">
        <f t="shared" si="13"/>
        <v>INSERT INTO M_WORD VALUES(</v>
      </c>
      <c r="O92" s="32" t="str">
        <f t="shared" si="16"/>
        <v>31,"yii",2,"PHP",FALSE</v>
      </c>
      <c r="P92" s="18" t="s">
        <v>108</v>
      </c>
    </row>
    <row r="93" spans="2:16">
      <c r="B93" s="34" t="s">
        <v>111</v>
      </c>
      <c r="C93" s="34">
        <v>32</v>
      </c>
      <c r="D93" s="34" t="s">
        <v>167</v>
      </c>
      <c r="E93" s="35">
        <f t="shared" si="11"/>
        <v>2</v>
      </c>
      <c r="F93" s="34" t="s">
        <v>136</v>
      </c>
      <c r="G93" s="34" t="b">
        <v>0</v>
      </c>
      <c r="H93" s="18" t="s">
        <v>261</v>
      </c>
      <c r="I93" s="34">
        <v>32</v>
      </c>
      <c r="M93" s="32" t="str">
        <f t="shared" si="15"/>
        <v>DELETE FROM M_WORD WHERE ID = 32;</v>
      </c>
      <c r="N93" s="32" t="str">
        <f t="shared" si="13"/>
        <v>INSERT INTO M_WORD VALUES(</v>
      </c>
      <c r="O93" s="32" t="str">
        <f t="shared" si="16"/>
        <v>32,"Phalcon",2,"PHP",FALSE</v>
      </c>
      <c r="P93" s="18" t="s">
        <v>108</v>
      </c>
    </row>
    <row r="94" spans="2:16">
      <c r="B94" s="34" t="s">
        <v>111</v>
      </c>
      <c r="C94" s="34">
        <v>33</v>
      </c>
      <c r="D94" s="34" t="s">
        <v>168</v>
      </c>
      <c r="E94" s="35">
        <f t="shared" ref="E94:E125" si="17">VLOOKUP(H94,$D$48:$F$56,3,FALSE)</f>
        <v>2</v>
      </c>
      <c r="F94" s="34" t="s">
        <v>138</v>
      </c>
      <c r="G94" s="34" t="b">
        <v>0</v>
      </c>
      <c r="H94" s="18" t="s">
        <v>261</v>
      </c>
      <c r="I94" s="34">
        <v>33</v>
      </c>
      <c r="M94" s="32" t="str">
        <f t="shared" si="15"/>
        <v>DELETE FROM M_WORD WHERE ID = 33;</v>
      </c>
      <c r="N94" s="32" t="str">
        <f t="shared" si="13"/>
        <v>INSERT INTO M_WORD VALUES(</v>
      </c>
      <c r="O94" s="32" t="str">
        <f t="shared" si="16"/>
        <v>33,"Rails",2,"Ruby",FALSE</v>
      </c>
      <c r="P94" s="18" t="s">
        <v>108</v>
      </c>
    </row>
    <row r="95" spans="2:16">
      <c r="B95" s="34" t="s">
        <v>111</v>
      </c>
      <c r="C95" s="34">
        <v>34</v>
      </c>
      <c r="D95" s="34" t="s">
        <v>169</v>
      </c>
      <c r="E95" s="35">
        <f t="shared" si="17"/>
        <v>2</v>
      </c>
      <c r="F95" s="34" t="s">
        <v>138</v>
      </c>
      <c r="G95" s="34" t="b">
        <v>0</v>
      </c>
      <c r="H95" s="18" t="s">
        <v>261</v>
      </c>
      <c r="I95" s="34">
        <v>34</v>
      </c>
      <c r="M95" s="32" t="str">
        <f t="shared" si="15"/>
        <v>DELETE FROM M_WORD WHERE ID = 34;</v>
      </c>
      <c r="N95" s="32" t="str">
        <f t="shared" si="13"/>
        <v>INSERT INTO M_WORD VALUES(</v>
      </c>
      <c r="O95" s="32" t="str">
        <f t="shared" si="16"/>
        <v>34,"Ruby On Rails",2,"Ruby",FALSE</v>
      </c>
      <c r="P95" s="18" t="s">
        <v>108</v>
      </c>
    </row>
    <row r="96" spans="2:16">
      <c r="B96" s="34" t="s">
        <v>111</v>
      </c>
      <c r="C96" s="34">
        <v>35</v>
      </c>
      <c r="D96" s="34" t="s">
        <v>170</v>
      </c>
      <c r="E96" s="35">
        <f t="shared" si="17"/>
        <v>2</v>
      </c>
      <c r="F96" s="34" t="s">
        <v>139</v>
      </c>
      <c r="G96" s="34" t="b">
        <v>0</v>
      </c>
      <c r="H96" s="18" t="s">
        <v>261</v>
      </c>
      <c r="I96" s="34">
        <v>35</v>
      </c>
      <c r="M96" s="32" t="str">
        <f t="shared" si="15"/>
        <v>DELETE FROM M_WORD WHERE ID = 35;</v>
      </c>
      <c r="N96" s="32" t="str">
        <f t="shared" si="13"/>
        <v>INSERT INTO M_WORD VALUES(</v>
      </c>
      <c r="O96" s="32" t="str">
        <f t="shared" si="16"/>
        <v>35,"Django",2,"Python",FALSE</v>
      </c>
      <c r="P96" s="18" t="s">
        <v>108</v>
      </c>
    </row>
    <row r="97" spans="2:16">
      <c r="B97" s="34" t="s">
        <v>111</v>
      </c>
      <c r="C97" s="34">
        <v>36</v>
      </c>
      <c r="D97" s="34" t="s">
        <v>171</v>
      </c>
      <c r="E97" s="35">
        <f t="shared" si="17"/>
        <v>2</v>
      </c>
      <c r="F97" s="34" t="s">
        <v>172</v>
      </c>
      <c r="G97" s="34" t="b">
        <v>0</v>
      </c>
      <c r="H97" s="18" t="s">
        <v>261</v>
      </c>
      <c r="I97" s="34">
        <v>36</v>
      </c>
      <c r="M97" s="32" t="str">
        <f t="shared" si="15"/>
        <v>DELETE FROM M_WORD WHERE ID = 36;</v>
      </c>
      <c r="N97" s="32" t="str">
        <f t="shared" si="13"/>
        <v>INSERT INTO M_WORD VALUES(</v>
      </c>
      <c r="O97" s="32" t="str">
        <f t="shared" si="16"/>
        <v>36,"jQuery",2,"web|Javascript",FALSE</v>
      </c>
      <c r="P97" s="18" t="s">
        <v>108</v>
      </c>
    </row>
    <row r="98" spans="2:16">
      <c r="B98" s="34" t="s">
        <v>111</v>
      </c>
      <c r="C98" s="34">
        <v>37</v>
      </c>
      <c r="D98" s="34" t="s">
        <v>173</v>
      </c>
      <c r="E98" s="35">
        <f t="shared" si="17"/>
        <v>2</v>
      </c>
      <c r="F98" s="34" t="s">
        <v>174</v>
      </c>
      <c r="G98" s="34" t="b">
        <v>0</v>
      </c>
      <c r="H98" s="18" t="s">
        <v>261</v>
      </c>
      <c r="I98" s="34">
        <v>37</v>
      </c>
      <c r="M98" s="32" t="str">
        <f t="shared" si="15"/>
        <v>DELETE FROM M_WORD WHERE ID = 37;</v>
      </c>
      <c r="N98" s="32" t="str">
        <f t="shared" si="13"/>
        <v>INSERT INTO M_WORD VALUES(</v>
      </c>
      <c r="O98" s="32" t="str">
        <f t="shared" si="16"/>
        <v>37,"Unity",2,"Game",FALSE</v>
      </c>
      <c r="P98" s="18" t="s">
        <v>108</v>
      </c>
    </row>
    <row r="99" spans="2:16">
      <c r="B99" s="34" t="s">
        <v>111</v>
      </c>
      <c r="C99" s="34">
        <v>38</v>
      </c>
      <c r="D99" s="34" t="s">
        <v>175</v>
      </c>
      <c r="E99" s="35">
        <f t="shared" si="17"/>
        <v>2</v>
      </c>
      <c r="F99" s="34" t="s">
        <v>132</v>
      </c>
      <c r="G99" s="34" t="b">
        <v>0</v>
      </c>
      <c r="H99" s="18" t="s">
        <v>261</v>
      </c>
      <c r="I99" s="34">
        <v>38</v>
      </c>
      <c r="M99" s="32" t="str">
        <f t="shared" si="15"/>
        <v>DELETE FROM M_WORD WHERE ID = 38;</v>
      </c>
      <c r="N99" s="32" t="str">
        <f t="shared" si="13"/>
        <v>INSERT INTO M_WORD VALUES(</v>
      </c>
      <c r="O99" s="32" t="str">
        <f t="shared" si="16"/>
        <v>38,"Node.js",2,"web",FALSE</v>
      </c>
      <c r="P99" s="18" t="s">
        <v>108</v>
      </c>
    </row>
    <row r="100" spans="2:16">
      <c r="B100" s="34" t="s">
        <v>111</v>
      </c>
      <c r="C100" s="34">
        <v>39</v>
      </c>
      <c r="D100" s="34" t="s">
        <v>176</v>
      </c>
      <c r="E100" s="35">
        <f t="shared" si="17"/>
        <v>2</v>
      </c>
      <c r="F100" s="34" t="s">
        <v>132</v>
      </c>
      <c r="G100" s="34" t="b">
        <v>0</v>
      </c>
      <c r="H100" s="18" t="s">
        <v>261</v>
      </c>
      <c r="I100" s="34">
        <v>39</v>
      </c>
      <c r="M100" s="32" t="str">
        <f t="shared" si="15"/>
        <v>DELETE FROM M_WORD WHERE ID = 39;</v>
      </c>
      <c r="N100" s="32" t="str">
        <f t="shared" si="13"/>
        <v>INSERT INTO M_WORD VALUES(</v>
      </c>
      <c r="O100" s="32" t="str">
        <f t="shared" si="16"/>
        <v>39,"AngularJs",2,"web",FALSE</v>
      </c>
      <c r="P100" s="18" t="s">
        <v>108</v>
      </c>
    </row>
    <row r="101" spans="2:16">
      <c r="B101" s="34" t="s">
        <v>111</v>
      </c>
      <c r="C101" s="34">
        <v>40</v>
      </c>
      <c r="D101" s="34" t="s">
        <v>177</v>
      </c>
      <c r="E101" s="35">
        <f t="shared" si="17"/>
        <v>2</v>
      </c>
      <c r="F101" s="34" t="s">
        <v>132</v>
      </c>
      <c r="G101" s="34" t="b">
        <v>0</v>
      </c>
      <c r="H101" s="18" t="s">
        <v>261</v>
      </c>
      <c r="I101" s="34">
        <v>40</v>
      </c>
      <c r="M101" s="32" t="str">
        <f t="shared" si="15"/>
        <v>DELETE FROM M_WORD WHERE ID = 40;</v>
      </c>
      <c r="N101" s="32" t="str">
        <f t="shared" si="13"/>
        <v>INSERT INTO M_WORD VALUES(</v>
      </c>
      <c r="O101" s="32" t="str">
        <f t="shared" si="16"/>
        <v>40,"Sencha",2,"web",FALSE</v>
      </c>
      <c r="P101" s="18" t="s">
        <v>108</v>
      </c>
    </row>
    <row r="102" spans="2:16">
      <c r="B102" s="34" t="s">
        <v>111</v>
      </c>
      <c r="C102" s="34">
        <v>41</v>
      </c>
      <c r="D102" s="34" t="s">
        <v>178</v>
      </c>
      <c r="E102" s="35">
        <f t="shared" si="17"/>
        <v>2</v>
      </c>
      <c r="F102" s="34" t="s">
        <v>132</v>
      </c>
      <c r="G102" s="34" t="b">
        <v>0</v>
      </c>
      <c r="H102" s="18" t="s">
        <v>261</v>
      </c>
      <c r="I102" s="34">
        <v>41</v>
      </c>
      <c r="M102" s="32" t="str">
        <f t="shared" si="15"/>
        <v>DELETE FROM M_WORD WHERE ID = 41;</v>
      </c>
      <c r="N102" s="32" t="str">
        <f t="shared" si="13"/>
        <v>INSERT INTO M_WORD VALUES(</v>
      </c>
      <c r="O102" s="32" t="str">
        <f t="shared" si="16"/>
        <v>41,"ExtJs",2,"web",FALSE</v>
      </c>
      <c r="P102" s="18" t="s">
        <v>108</v>
      </c>
    </row>
    <row r="103" spans="2:16">
      <c r="B103" s="34" t="s">
        <v>111</v>
      </c>
      <c r="C103" s="34">
        <v>42</v>
      </c>
      <c r="D103" s="34" t="s">
        <v>179</v>
      </c>
      <c r="E103" s="35">
        <f t="shared" si="17"/>
        <v>2</v>
      </c>
      <c r="F103" s="34" t="s">
        <v>142</v>
      </c>
      <c r="G103" s="34" t="b">
        <v>1</v>
      </c>
      <c r="H103" s="18" t="s">
        <v>270</v>
      </c>
      <c r="I103" s="34">
        <v>42</v>
      </c>
      <c r="M103" s="32" t="str">
        <f t="shared" si="15"/>
        <v>DELETE FROM M_WORD WHERE ID = 42;</v>
      </c>
      <c r="N103" s="32" t="str">
        <f t="shared" si="13"/>
        <v>INSERT INTO M_WORD VALUES(</v>
      </c>
      <c r="O103" s="32" t="str">
        <f t="shared" si="16"/>
        <v>42,".NETFramework",2,"MicroSoft",TRUE</v>
      </c>
      <c r="P103" s="18" t="s">
        <v>108</v>
      </c>
    </row>
    <row r="104" spans="2:16">
      <c r="B104" s="34" t="s">
        <v>111</v>
      </c>
      <c r="C104" s="34">
        <v>43</v>
      </c>
      <c r="D104" s="34" t="s">
        <v>180</v>
      </c>
      <c r="E104" s="35">
        <f t="shared" si="17"/>
        <v>2</v>
      </c>
      <c r="F104" s="34" t="s">
        <v>142</v>
      </c>
      <c r="G104" s="34" t="b">
        <v>0</v>
      </c>
      <c r="H104" s="18" t="s">
        <v>261</v>
      </c>
      <c r="I104" s="34">
        <v>43</v>
      </c>
      <c r="M104" s="32" t="str">
        <f t="shared" si="15"/>
        <v>DELETE FROM M_WORD WHERE ID = 43;</v>
      </c>
      <c r="N104" s="32" t="str">
        <f t="shared" si="13"/>
        <v>INSERT INTO M_WORD VALUES(</v>
      </c>
      <c r="O104" s="32" t="str">
        <f t="shared" si="16"/>
        <v>43,".NET",2,"MicroSoft",FALSE</v>
      </c>
      <c r="P104" s="18" t="s">
        <v>108</v>
      </c>
    </row>
    <row r="105" spans="2:16">
      <c r="B105" s="34" t="s">
        <v>111</v>
      </c>
      <c r="C105" s="34">
        <v>44</v>
      </c>
      <c r="D105" s="34" t="s">
        <v>181</v>
      </c>
      <c r="E105" s="35">
        <f t="shared" si="17"/>
        <v>2</v>
      </c>
      <c r="F105" s="34" t="s">
        <v>182</v>
      </c>
      <c r="G105" s="34" t="b">
        <v>0</v>
      </c>
      <c r="H105" s="18" t="s">
        <v>261</v>
      </c>
      <c r="I105" s="34">
        <v>44</v>
      </c>
      <c r="M105" s="32" t="str">
        <f t="shared" si="15"/>
        <v>DELETE FROM M_WORD WHERE ID = 44;</v>
      </c>
      <c r="N105" s="32" t="str">
        <f t="shared" si="13"/>
        <v>INSERT INTO M_WORD VALUES(</v>
      </c>
      <c r="O105" s="32" t="str">
        <f t="shared" si="16"/>
        <v>44,"ASP.NET",2,"web|MicroSoft",FALSE</v>
      </c>
      <c r="P105" s="18" t="s">
        <v>108</v>
      </c>
    </row>
    <row r="106" spans="2:16">
      <c r="B106" s="34" t="s">
        <v>111</v>
      </c>
      <c r="C106" s="34">
        <v>45</v>
      </c>
      <c r="D106" s="34" t="s">
        <v>183</v>
      </c>
      <c r="E106" s="35">
        <f t="shared" si="17"/>
        <v>3</v>
      </c>
      <c r="F106" s="34" t="s">
        <v>184</v>
      </c>
      <c r="G106" s="34" t="b">
        <v>0</v>
      </c>
      <c r="H106" s="18" t="s">
        <v>262</v>
      </c>
      <c r="I106" s="34">
        <v>45</v>
      </c>
      <c r="M106" s="32" t="str">
        <f t="shared" si="15"/>
        <v>DELETE FROM M_WORD WHERE ID = 45;</v>
      </c>
      <c r="N106" s="32" t="str">
        <f t="shared" si="13"/>
        <v>INSERT INTO M_WORD VALUES(</v>
      </c>
      <c r="O106" s="32" t="str">
        <f t="shared" si="16"/>
        <v>45,"MySQL",3,"OSS|Oracle",FALSE</v>
      </c>
      <c r="P106" s="18" t="s">
        <v>108</v>
      </c>
    </row>
    <row r="107" spans="2:16">
      <c r="B107" s="34" t="s">
        <v>111</v>
      </c>
      <c r="C107" s="34">
        <v>46</v>
      </c>
      <c r="D107" s="34" t="s">
        <v>185</v>
      </c>
      <c r="E107" s="35">
        <f t="shared" si="17"/>
        <v>3</v>
      </c>
      <c r="F107" s="34" t="s">
        <v>186</v>
      </c>
      <c r="G107" s="34" t="b">
        <v>0</v>
      </c>
      <c r="H107" s="18" t="s">
        <v>262</v>
      </c>
      <c r="I107" s="34">
        <v>46</v>
      </c>
      <c r="M107" s="32" t="str">
        <f t="shared" si="15"/>
        <v>DELETE FROM M_WORD WHERE ID = 46;</v>
      </c>
      <c r="N107" s="32" t="str">
        <f t="shared" si="13"/>
        <v>INSERT INTO M_WORD VALUES(</v>
      </c>
      <c r="O107" s="32" t="str">
        <f t="shared" si="16"/>
        <v>46,"MariaDB",3,"OSS",FALSE</v>
      </c>
      <c r="P107" s="18" t="s">
        <v>108</v>
      </c>
    </row>
    <row r="108" spans="2:16">
      <c r="B108" s="34" t="s">
        <v>111</v>
      </c>
      <c r="C108" s="34">
        <v>47</v>
      </c>
      <c r="D108" s="34" t="s">
        <v>187</v>
      </c>
      <c r="E108" s="35">
        <f t="shared" si="17"/>
        <v>3</v>
      </c>
      <c r="F108" s="34" t="s">
        <v>186</v>
      </c>
      <c r="G108" s="34" t="b">
        <v>0</v>
      </c>
      <c r="H108" s="18" t="s">
        <v>262</v>
      </c>
      <c r="I108" s="34">
        <v>47</v>
      </c>
      <c r="M108" s="32" t="str">
        <f t="shared" si="15"/>
        <v>DELETE FROM M_WORD WHERE ID = 47;</v>
      </c>
      <c r="N108" s="32" t="str">
        <f t="shared" si="13"/>
        <v>INSERT INTO M_WORD VALUES(</v>
      </c>
      <c r="O108" s="32" t="str">
        <f t="shared" si="16"/>
        <v>47,"Postgres",3,"OSS",FALSE</v>
      </c>
      <c r="P108" s="18" t="s">
        <v>108</v>
      </c>
    </row>
    <row r="109" spans="2:16">
      <c r="B109" s="34" t="s">
        <v>111</v>
      </c>
      <c r="C109" s="34">
        <v>48</v>
      </c>
      <c r="D109" s="34" t="s">
        <v>188</v>
      </c>
      <c r="E109" s="35">
        <f t="shared" si="17"/>
        <v>3</v>
      </c>
      <c r="F109" s="34" t="s">
        <v>186</v>
      </c>
      <c r="G109" s="34" t="b">
        <v>0</v>
      </c>
      <c r="H109" s="18" t="s">
        <v>262</v>
      </c>
      <c r="I109" s="34">
        <v>48</v>
      </c>
      <c r="M109" s="32" t="str">
        <f t="shared" si="15"/>
        <v>DELETE FROM M_WORD WHERE ID = 48;</v>
      </c>
      <c r="N109" s="32" t="str">
        <f t="shared" si="13"/>
        <v>INSERT INTO M_WORD VALUES(</v>
      </c>
      <c r="O109" s="32" t="str">
        <f t="shared" si="16"/>
        <v>48,"PostgreSQL",3,"OSS",FALSE</v>
      </c>
      <c r="P109" s="18" t="s">
        <v>108</v>
      </c>
    </row>
    <row r="110" spans="2:16">
      <c r="B110" s="34" t="s">
        <v>111</v>
      </c>
      <c r="C110" s="34">
        <v>49</v>
      </c>
      <c r="D110" s="34" t="s">
        <v>189</v>
      </c>
      <c r="E110" s="35">
        <f t="shared" si="17"/>
        <v>3</v>
      </c>
      <c r="F110" s="34" t="s">
        <v>189</v>
      </c>
      <c r="G110" s="34" t="b">
        <v>0</v>
      </c>
      <c r="H110" s="18" t="s">
        <v>262</v>
      </c>
      <c r="I110" s="34">
        <v>49</v>
      </c>
      <c r="M110" s="32" t="str">
        <f t="shared" si="15"/>
        <v>DELETE FROM M_WORD WHERE ID = 49;</v>
      </c>
      <c r="N110" s="32" t="str">
        <f t="shared" si="13"/>
        <v>INSERT INTO M_WORD VALUES(</v>
      </c>
      <c r="O110" s="32" t="str">
        <f t="shared" si="16"/>
        <v>49,"Oracle",3,"Oracle",FALSE</v>
      </c>
      <c r="P110" s="18" t="s">
        <v>108</v>
      </c>
    </row>
    <row r="111" spans="2:16">
      <c r="B111" s="34" t="s">
        <v>111</v>
      </c>
      <c r="C111" s="34">
        <v>50</v>
      </c>
      <c r="D111" s="34" t="s">
        <v>190</v>
      </c>
      <c r="E111" s="35">
        <f t="shared" si="17"/>
        <v>3</v>
      </c>
      <c r="F111" s="34" t="s">
        <v>142</v>
      </c>
      <c r="G111" s="34" t="b">
        <v>0</v>
      </c>
      <c r="H111" s="18" t="s">
        <v>262</v>
      </c>
      <c r="I111" s="34">
        <v>50</v>
      </c>
      <c r="M111" s="32" t="str">
        <f t="shared" si="15"/>
        <v>DELETE FROM M_WORD WHERE ID = 50;</v>
      </c>
      <c r="N111" s="32" t="str">
        <f t="shared" si="13"/>
        <v>INSERT INTO M_WORD VALUES(</v>
      </c>
      <c r="O111" s="32" t="str">
        <f t="shared" si="16"/>
        <v>50,"SQL Server",3,"MicroSoft",FALSE</v>
      </c>
      <c r="P111" s="18" t="s">
        <v>108</v>
      </c>
    </row>
    <row r="112" spans="2:16">
      <c r="B112" s="34" t="s">
        <v>111</v>
      </c>
      <c r="C112" s="34">
        <v>51</v>
      </c>
      <c r="D112" s="34" t="s">
        <v>191</v>
      </c>
      <c r="E112" s="35">
        <f t="shared" si="17"/>
        <v>3</v>
      </c>
      <c r="F112" s="34" t="s">
        <v>142</v>
      </c>
      <c r="G112" s="34" t="b">
        <v>0</v>
      </c>
      <c r="H112" s="18" t="s">
        <v>262</v>
      </c>
      <c r="I112" s="34">
        <v>51</v>
      </c>
      <c r="M112" s="32" t="str">
        <f t="shared" si="15"/>
        <v>DELETE FROM M_WORD WHERE ID = 51;</v>
      </c>
      <c r="N112" s="32" t="str">
        <f t="shared" si="13"/>
        <v>INSERT INTO M_WORD VALUES(</v>
      </c>
      <c r="O112" s="32" t="str">
        <f t="shared" si="16"/>
        <v>51,"SQLServer",3,"MicroSoft",FALSE</v>
      </c>
      <c r="P112" s="18" t="s">
        <v>108</v>
      </c>
    </row>
    <row r="113" spans="2:16">
      <c r="B113" s="34" t="s">
        <v>111</v>
      </c>
      <c r="C113" s="34">
        <v>52</v>
      </c>
      <c r="D113" s="34" t="s">
        <v>192</v>
      </c>
      <c r="E113" s="35">
        <f t="shared" si="17"/>
        <v>3</v>
      </c>
      <c r="F113" s="34" t="s">
        <v>193</v>
      </c>
      <c r="G113" s="34" t="b">
        <v>0</v>
      </c>
      <c r="H113" s="18" t="s">
        <v>262</v>
      </c>
      <c r="I113" s="34">
        <v>52</v>
      </c>
      <c r="M113" s="32" t="str">
        <f t="shared" si="15"/>
        <v>DELETE FROM M_WORD WHERE ID = 52;</v>
      </c>
      <c r="N113" s="32" t="str">
        <f t="shared" si="13"/>
        <v>INSERT INTO M_WORD VALUES(</v>
      </c>
      <c r="O113" s="32" t="str">
        <f t="shared" si="16"/>
        <v>52,"DB2",3,"IBM",FALSE</v>
      </c>
      <c r="P113" s="18" t="s">
        <v>108</v>
      </c>
    </row>
    <row r="114" spans="2:16">
      <c r="B114" s="34" t="s">
        <v>111</v>
      </c>
      <c r="C114" s="34">
        <v>53</v>
      </c>
      <c r="D114" s="34" t="s">
        <v>194</v>
      </c>
      <c r="E114" s="35">
        <f t="shared" si="17"/>
        <v>3</v>
      </c>
      <c r="F114" s="34" t="s">
        <v>186</v>
      </c>
      <c r="G114" s="34" t="b">
        <v>0</v>
      </c>
      <c r="H114" s="18" t="s">
        <v>262</v>
      </c>
      <c r="I114" s="34">
        <v>53</v>
      </c>
      <c r="M114" s="32" t="str">
        <f t="shared" si="15"/>
        <v>DELETE FROM M_WORD WHERE ID = 53;</v>
      </c>
      <c r="N114" s="32" t="str">
        <f t="shared" si="13"/>
        <v>INSERT INTO M_WORD VALUES(</v>
      </c>
      <c r="O114" s="32" t="str">
        <f t="shared" si="16"/>
        <v>53,"mongoDB",3,"OSS",FALSE</v>
      </c>
      <c r="P114" s="18" t="s">
        <v>108</v>
      </c>
    </row>
    <row r="115" spans="2:16">
      <c r="B115" s="34" t="s">
        <v>111</v>
      </c>
      <c r="C115" s="34">
        <v>54</v>
      </c>
      <c r="D115" s="34" t="s">
        <v>195</v>
      </c>
      <c r="E115" s="35">
        <f t="shared" si="17"/>
        <v>4</v>
      </c>
      <c r="F115" s="34" t="s">
        <v>186</v>
      </c>
      <c r="G115" s="34" t="b">
        <v>0</v>
      </c>
      <c r="H115" s="18" t="s">
        <v>263</v>
      </c>
      <c r="I115" s="34">
        <v>54</v>
      </c>
      <c r="M115" s="32" t="str">
        <f t="shared" si="15"/>
        <v>DELETE FROM M_WORD WHERE ID = 54;</v>
      </c>
      <c r="N115" s="32" t="str">
        <f t="shared" si="13"/>
        <v>INSERT INTO M_WORD VALUES(</v>
      </c>
      <c r="O115" s="32" t="str">
        <f t="shared" si="16"/>
        <v>54,"Linux",4,"OSS",FALSE</v>
      </c>
      <c r="P115" s="18" t="s">
        <v>108</v>
      </c>
    </row>
    <row r="116" spans="2:16">
      <c r="B116" s="34" t="s">
        <v>111</v>
      </c>
      <c r="C116" s="34">
        <v>55</v>
      </c>
      <c r="D116" s="34" t="s">
        <v>196</v>
      </c>
      <c r="E116" s="35">
        <f t="shared" si="17"/>
        <v>4</v>
      </c>
      <c r="F116" s="34" t="s">
        <v>186</v>
      </c>
      <c r="G116" s="34" t="b">
        <v>0</v>
      </c>
      <c r="H116" s="18" t="s">
        <v>263</v>
      </c>
      <c r="I116" s="34">
        <v>55</v>
      </c>
      <c r="M116" s="32" t="str">
        <f t="shared" si="15"/>
        <v>DELETE FROM M_WORD WHERE ID = 55;</v>
      </c>
      <c r="N116" s="32" t="str">
        <f t="shared" si="13"/>
        <v>INSERT INTO M_WORD VALUES(</v>
      </c>
      <c r="O116" s="32" t="str">
        <f t="shared" si="16"/>
        <v>55,"CentOS",4,"OSS",FALSE</v>
      </c>
      <c r="P116" s="18" t="s">
        <v>108</v>
      </c>
    </row>
    <row r="117" spans="2:16">
      <c r="B117" s="34" t="s">
        <v>111</v>
      </c>
      <c r="C117" s="34">
        <v>56</v>
      </c>
      <c r="D117" s="34" t="s">
        <v>197</v>
      </c>
      <c r="E117" s="35">
        <f t="shared" si="17"/>
        <v>4</v>
      </c>
      <c r="F117" s="34" t="s">
        <v>142</v>
      </c>
      <c r="G117" s="34" t="b">
        <v>0</v>
      </c>
      <c r="H117" s="18" t="s">
        <v>263</v>
      </c>
      <c r="I117" s="34">
        <v>56</v>
      </c>
      <c r="M117" s="32" t="str">
        <f t="shared" si="15"/>
        <v>DELETE FROM M_WORD WHERE ID = 56;</v>
      </c>
      <c r="N117" s="32" t="str">
        <f t="shared" si="13"/>
        <v>INSERT INTO M_WORD VALUES(</v>
      </c>
      <c r="O117" s="32" t="str">
        <f t="shared" si="16"/>
        <v>56,"Windows",4,"MicroSoft",FALSE</v>
      </c>
      <c r="P117" s="18" t="s">
        <v>108</v>
      </c>
    </row>
    <row r="118" spans="2:16">
      <c r="B118" s="34" t="s">
        <v>111</v>
      </c>
      <c r="C118" s="34">
        <v>57</v>
      </c>
      <c r="D118" s="34" t="s">
        <v>146</v>
      </c>
      <c r="E118" s="35">
        <f t="shared" si="17"/>
        <v>4</v>
      </c>
      <c r="F118" s="34" t="s">
        <v>198</v>
      </c>
      <c r="G118" s="34" t="b">
        <v>0</v>
      </c>
      <c r="H118" s="18" t="s">
        <v>263</v>
      </c>
      <c r="I118" s="34">
        <v>57</v>
      </c>
      <c r="M118" s="32" t="str">
        <f t="shared" si="15"/>
        <v>DELETE FROM M_WORD WHERE ID = 57;</v>
      </c>
      <c r="N118" s="32" t="str">
        <f t="shared" si="13"/>
        <v>INSERT INTO M_WORD VALUES(</v>
      </c>
      <c r="O118" s="32" t="str">
        <f t="shared" si="16"/>
        <v>57,"iOS",4,"Apple",FALSE</v>
      </c>
      <c r="P118" s="18" t="s">
        <v>108</v>
      </c>
    </row>
    <row r="119" spans="2:16">
      <c r="B119" s="34" t="s">
        <v>111</v>
      </c>
      <c r="C119" s="34">
        <v>58</v>
      </c>
      <c r="D119" s="34" t="s">
        <v>199</v>
      </c>
      <c r="E119" s="35">
        <f t="shared" si="17"/>
        <v>4</v>
      </c>
      <c r="F119" s="34" t="s">
        <v>144</v>
      </c>
      <c r="G119" s="34" t="b">
        <v>0</v>
      </c>
      <c r="H119" s="18" t="s">
        <v>263</v>
      </c>
      <c r="I119" s="34">
        <v>58</v>
      </c>
      <c r="M119" s="32" t="str">
        <f t="shared" si="15"/>
        <v>DELETE FROM M_WORD WHERE ID = 58;</v>
      </c>
      <c r="N119" s="32" t="str">
        <f t="shared" si="13"/>
        <v>INSERT INTO M_WORD VALUES(</v>
      </c>
      <c r="O119" s="32" t="str">
        <f t="shared" si="16"/>
        <v>58,"Android",4,"Google",FALSE</v>
      </c>
      <c r="P119" s="18" t="s">
        <v>108</v>
      </c>
    </row>
    <row r="120" spans="2:16">
      <c r="B120" s="34" t="s">
        <v>111</v>
      </c>
      <c r="C120" s="34">
        <v>59</v>
      </c>
      <c r="D120" s="34" t="s">
        <v>200</v>
      </c>
      <c r="E120" s="35">
        <f t="shared" si="17"/>
        <v>5</v>
      </c>
      <c r="F120" s="34" t="s">
        <v>201</v>
      </c>
      <c r="G120" s="34" t="b">
        <v>0</v>
      </c>
      <c r="H120" s="18" t="s">
        <v>264</v>
      </c>
      <c r="I120" s="34">
        <v>59</v>
      </c>
      <c r="M120" s="32" t="str">
        <f t="shared" si="15"/>
        <v>DELETE FROM M_WORD WHERE ID = 59;</v>
      </c>
      <c r="N120" s="32" t="str">
        <f t="shared" si="13"/>
        <v>INSERT INTO M_WORD VALUES(</v>
      </c>
      <c r="O120" s="32" t="str">
        <f t="shared" si="16"/>
        <v>59,"Apache",5,"WebServer|OSS",FALSE</v>
      </c>
      <c r="P120" s="18" t="s">
        <v>108</v>
      </c>
    </row>
    <row r="121" spans="2:16">
      <c r="B121" s="34" t="s">
        <v>111</v>
      </c>
      <c r="C121" s="34">
        <v>60</v>
      </c>
      <c r="D121" s="34" t="s">
        <v>202</v>
      </c>
      <c r="E121" s="35">
        <f t="shared" si="17"/>
        <v>5</v>
      </c>
      <c r="F121" s="34" t="s">
        <v>201</v>
      </c>
      <c r="G121" s="34" t="b">
        <v>0</v>
      </c>
      <c r="H121" s="18" t="s">
        <v>264</v>
      </c>
      <c r="I121" s="34">
        <v>60</v>
      </c>
      <c r="M121" s="32" t="str">
        <f t="shared" si="15"/>
        <v>DELETE FROM M_WORD WHERE ID = 60;</v>
      </c>
      <c r="N121" s="32" t="str">
        <f t="shared" si="13"/>
        <v>INSERT INTO M_WORD VALUES(</v>
      </c>
      <c r="O121" s="32" t="str">
        <f t="shared" si="16"/>
        <v>60,"nginx",5,"WebServer|OSS",FALSE</v>
      </c>
      <c r="P121" s="18" t="s">
        <v>108</v>
      </c>
    </row>
    <row r="122" spans="2:16">
      <c r="B122" s="34" t="s">
        <v>111</v>
      </c>
      <c r="C122" s="34">
        <v>61</v>
      </c>
      <c r="D122" s="34" t="s">
        <v>203</v>
      </c>
      <c r="E122" s="35">
        <f t="shared" si="17"/>
        <v>5</v>
      </c>
      <c r="F122" s="34" t="s">
        <v>204</v>
      </c>
      <c r="G122" s="34" t="b">
        <v>0</v>
      </c>
      <c r="H122" s="18" t="s">
        <v>264</v>
      </c>
      <c r="I122" s="34">
        <v>61</v>
      </c>
      <c r="M122" s="32" t="str">
        <f t="shared" si="15"/>
        <v>DELETE FROM M_WORD WHERE ID = 61;</v>
      </c>
      <c r="N122" s="32" t="str">
        <f t="shared" si="13"/>
        <v>INSERT INTO M_WORD VALUES(</v>
      </c>
      <c r="O122" s="32" t="str">
        <f t="shared" si="16"/>
        <v>61,"Tomcat",5,"WebServer|OSS|Java",FALSE</v>
      </c>
      <c r="P122" s="18" t="s">
        <v>108</v>
      </c>
    </row>
    <row r="123" spans="2:16">
      <c r="B123" s="34" t="s">
        <v>111</v>
      </c>
      <c r="C123" s="34">
        <v>62</v>
      </c>
      <c r="D123" s="34" t="s">
        <v>205</v>
      </c>
      <c r="E123" s="35">
        <f t="shared" si="17"/>
        <v>5</v>
      </c>
      <c r="F123" s="34" t="s">
        <v>206</v>
      </c>
      <c r="G123" s="34" t="b">
        <v>0</v>
      </c>
      <c r="H123" s="18" t="s">
        <v>264</v>
      </c>
      <c r="I123" s="34">
        <v>62</v>
      </c>
      <c r="M123" s="32" t="str">
        <f t="shared" si="15"/>
        <v>DELETE FROM M_WORD WHERE ID = 62;</v>
      </c>
      <c r="N123" s="32" t="str">
        <f t="shared" si="13"/>
        <v>INSERT INTO M_WORD VALUES(</v>
      </c>
      <c r="O123" s="32" t="str">
        <f t="shared" si="16"/>
        <v>62,"JBoss",5,"OSS|Java",FALSE</v>
      </c>
      <c r="P123" s="18" t="s">
        <v>108</v>
      </c>
    </row>
    <row r="124" spans="2:16">
      <c r="B124" s="34" t="s">
        <v>111</v>
      </c>
      <c r="C124" s="34">
        <v>63</v>
      </c>
      <c r="D124" s="34" t="s">
        <v>207</v>
      </c>
      <c r="E124" s="35">
        <f t="shared" si="17"/>
        <v>5</v>
      </c>
      <c r="F124" s="34" t="s">
        <v>208</v>
      </c>
      <c r="G124" s="34" t="b">
        <v>0</v>
      </c>
      <c r="H124" s="18" t="s">
        <v>264</v>
      </c>
      <c r="I124" s="34">
        <v>63</v>
      </c>
      <c r="M124" s="32" t="str">
        <f t="shared" si="15"/>
        <v>DELETE FROM M_WORD WHERE ID = 63;</v>
      </c>
      <c r="N124" s="32" t="str">
        <f t="shared" si="13"/>
        <v>INSERT INTO M_WORD VALUES(</v>
      </c>
      <c r="O124" s="32" t="str">
        <f t="shared" si="16"/>
        <v>63,"Weblogic",5,"WebServer|Oracle",FALSE</v>
      </c>
      <c r="P124" s="18" t="s">
        <v>108</v>
      </c>
    </row>
    <row r="125" spans="2:16">
      <c r="B125" s="34" t="s">
        <v>111</v>
      </c>
      <c r="C125" s="34">
        <v>64</v>
      </c>
      <c r="D125" s="34" t="s">
        <v>209</v>
      </c>
      <c r="E125" s="35">
        <f t="shared" si="17"/>
        <v>5</v>
      </c>
      <c r="F125" s="34" t="s">
        <v>210</v>
      </c>
      <c r="G125" s="34" t="b">
        <v>0</v>
      </c>
      <c r="H125" s="18" t="s">
        <v>264</v>
      </c>
      <c r="I125" s="34">
        <v>64</v>
      </c>
      <c r="M125" s="32" t="str">
        <f t="shared" si="15"/>
        <v>DELETE FROM M_WORD WHERE ID = 64;</v>
      </c>
      <c r="N125" s="32" t="str">
        <f t="shared" si="13"/>
        <v>INSERT INTO M_WORD VALUES(</v>
      </c>
      <c r="O125" s="32" t="str">
        <f t="shared" si="16"/>
        <v>64,"WebSphere",5,"WebServer|IBM",FALSE</v>
      </c>
      <c r="P125" s="18" t="s">
        <v>108</v>
      </c>
    </row>
    <row r="126" spans="2:16">
      <c r="B126" s="34" t="s">
        <v>111</v>
      </c>
      <c r="C126" s="34">
        <v>65</v>
      </c>
      <c r="D126" s="34" t="s">
        <v>211</v>
      </c>
      <c r="E126" s="35">
        <f t="shared" ref="E126:E157" si="18">VLOOKUP(H126,$D$48:$F$56,3,FALSE)</f>
        <v>6</v>
      </c>
      <c r="F126" s="34" t="s">
        <v>186</v>
      </c>
      <c r="G126" s="34" t="b">
        <v>0</v>
      </c>
      <c r="H126" s="18" t="s">
        <v>265</v>
      </c>
      <c r="I126" s="34">
        <v>65</v>
      </c>
      <c r="M126" s="32" t="str">
        <f t="shared" si="15"/>
        <v>DELETE FROM M_WORD WHERE ID = 65;</v>
      </c>
      <c r="N126" s="32" t="str">
        <f t="shared" si="13"/>
        <v>INSERT INTO M_WORD VALUES(</v>
      </c>
      <c r="O126" s="32" t="str">
        <f t="shared" si="16"/>
        <v>65,"Puppet",6,"OSS",FALSE</v>
      </c>
      <c r="P126" s="18" t="s">
        <v>108</v>
      </c>
    </row>
    <row r="127" spans="2:16">
      <c r="B127" s="34" t="s">
        <v>111</v>
      </c>
      <c r="C127" s="34">
        <v>66</v>
      </c>
      <c r="D127" s="34" t="s">
        <v>212</v>
      </c>
      <c r="E127" s="35">
        <f t="shared" si="18"/>
        <v>6</v>
      </c>
      <c r="F127" s="34" t="s">
        <v>186</v>
      </c>
      <c r="G127" s="34" t="b">
        <v>0</v>
      </c>
      <c r="H127" s="18" t="s">
        <v>265</v>
      </c>
      <c r="I127" s="34">
        <v>66</v>
      </c>
      <c r="M127" s="32" t="str">
        <f t="shared" si="15"/>
        <v>DELETE FROM M_WORD WHERE ID = 66;</v>
      </c>
      <c r="N127" s="32" t="str">
        <f t="shared" ref="N127:N166" si="19">"INSERT INTO " &amp; $B127 &amp; " VALUES("</f>
        <v>INSERT INTO M_WORD VALUES(</v>
      </c>
      <c r="O127" s="32" t="str">
        <f t="shared" si="16"/>
        <v>66,"Chef",6,"OSS",FALSE</v>
      </c>
      <c r="P127" s="18" t="s">
        <v>108</v>
      </c>
    </row>
    <row r="128" spans="2:16">
      <c r="B128" s="34" t="s">
        <v>111</v>
      </c>
      <c r="C128" s="34">
        <v>67</v>
      </c>
      <c r="D128" s="34" t="s">
        <v>213</v>
      </c>
      <c r="E128" s="35">
        <f t="shared" si="18"/>
        <v>6</v>
      </c>
      <c r="F128" s="34" t="s">
        <v>186</v>
      </c>
      <c r="G128" s="34" t="b">
        <v>0</v>
      </c>
      <c r="H128" s="18" t="s">
        <v>265</v>
      </c>
      <c r="I128" s="34">
        <v>67</v>
      </c>
      <c r="M128" s="32" t="str">
        <f t="shared" si="15"/>
        <v>DELETE FROM M_WORD WHERE ID = 67;</v>
      </c>
      <c r="N128" s="32" t="str">
        <f t="shared" si="19"/>
        <v>INSERT INTO M_WORD VALUES(</v>
      </c>
      <c r="O128" s="32" t="str">
        <f t="shared" si="16"/>
        <v>67,"Jenkins",6,"OSS",FALSE</v>
      </c>
      <c r="P128" s="18" t="s">
        <v>108</v>
      </c>
    </row>
    <row r="129" spans="2:16">
      <c r="B129" s="34" t="s">
        <v>111</v>
      </c>
      <c r="C129" s="34">
        <v>68</v>
      </c>
      <c r="D129" s="34" t="s">
        <v>214</v>
      </c>
      <c r="E129" s="35">
        <f t="shared" si="18"/>
        <v>6</v>
      </c>
      <c r="F129" s="34" t="s">
        <v>186</v>
      </c>
      <c r="G129" s="34" t="b">
        <v>0</v>
      </c>
      <c r="H129" s="18" t="s">
        <v>265</v>
      </c>
      <c r="I129" s="34">
        <v>68</v>
      </c>
      <c r="M129" s="32" t="str">
        <f t="shared" si="15"/>
        <v>DELETE FROM M_WORD WHERE ID = 68;</v>
      </c>
      <c r="N129" s="32" t="str">
        <f t="shared" si="19"/>
        <v>INSERT INTO M_WORD VALUES(</v>
      </c>
      <c r="O129" s="32" t="str">
        <f t="shared" si="16"/>
        <v>68,"Redmine",6,"OSS",FALSE</v>
      </c>
      <c r="P129" s="18" t="s">
        <v>108</v>
      </c>
    </row>
    <row r="130" spans="2:16">
      <c r="B130" s="34" t="s">
        <v>111</v>
      </c>
      <c r="C130" s="34">
        <v>69</v>
      </c>
      <c r="D130" s="34" t="s">
        <v>215</v>
      </c>
      <c r="E130" s="35">
        <f t="shared" si="18"/>
        <v>6</v>
      </c>
      <c r="F130" s="34" t="s">
        <v>186</v>
      </c>
      <c r="G130" s="34" t="b">
        <v>0</v>
      </c>
      <c r="H130" s="18" t="s">
        <v>265</v>
      </c>
      <c r="I130" s="34">
        <v>69</v>
      </c>
      <c r="M130" s="32" t="str">
        <f t="shared" si="15"/>
        <v>DELETE FROM M_WORD WHERE ID = 69;</v>
      </c>
      <c r="N130" s="32" t="str">
        <f t="shared" si="19"/>
        <v>INSERT INTO M_WORD VALUES(</v>
      </c>
      <c r="O130" s="32" t="str">
        <f t="shared" si="16"/>
        <v>69,"Git",6,"OSS",FALSE</v>
      </c>
      <c r="P130" s="18" t="s">
        <v>108</v>
      </c>
    </row>
    <row r="131" spans="2:16">
      <c r="B131" s="34" t="s">
        <v>111</v>
      </c>
      <c r="C131" s="34">
        <v>70</v>
      </c>
      <c r="D131" s="34" t="s">
        <v>216</v>
      </c>
      <c r="E131" s="35">
        <f t="shared" si="18"/>
        <v>6</v>
      </c>
      <c r="F131" s="34" t="s">
        <v>217</v>
      </c>
      <c r="G131" s="34" t="b">
        <v>0</v>
      </c>
      <c r="H131" s="18" t="s">
        <v>265</v>
      </c>
      <c r="I131" s="34">
        <v>70</v>
      </c>
      <c r="M131" s="32" t="str">
        <f t="shared" ref="M131:M165" si="20">"DELETE FROM " &amp; $B131 &amp; " WHERE ID = " &amp; C131 &amp; ";"</f>
        <v>DELETE FROM M_WORD WHERE ID = 70;</v>
      </c>
      <c r="N131" s="32" t="str">
        <f t="shared" si="19"/>
        <v>INSERT INTO M_WORD VALUES(</v>
      </c>
      <c r="O131" s="32" t="str">
        <f t="shared" ref="O131:O165" si="21" xml:space="preserve"> IF(IFERROR(FIND("VAR",C$61),0)&gt;0,""""&amp; C131 &amp; """",C131) &amp; "," &amp; IF(IFERROR(FIND("VAR",D$61),0)&gt;0,""""&amp; D131 &amp; """",D131) &amp; "," &amp; IF(IFERROR(FIND("VAR",E$61),0)&gt;0,""""&amp; E131 &amp; """",E131) &amp; "," &amp;  IF(IFERROR(FIND("VAR",F$61),0)&gt;0,""""&amp; F131 &amp; """",F131)&amp; "," &amp;  IF(IFERROR(FIND("VAR",G$61),0)&gt;0,""""&amp; G131 &amp; """",G131)</f>
        <v>70,"JP1",6,"Hitachi",FALSE</v>
      </c>
      <c r="P131" s="18" t="s">
        <v>108</v>
      </c>
    </row>
    <row r="132" spans="2:16">
      <c r="B132" s="34" t="s">
        <v>111</v>
      </c>
      <c r="C132" s="34">
        <v>71</v>
      </c>
      <c r="D132" s="34" t="s">
        <v>218</v>
      </c>
      <c r="E132" s="35">
        <f t="shared" si="18"/>
        <v>6</v>
      </c>
      <c r="F132" s="34" t="s">
        <v>219</v>
      </c>
      <c r="G132" s="34" t="b">
        <v>0</v>
      </c>
      <c r="H132" s="18" t="s">
        <v>265</v>
      </c>
      <c r="I132" s="34">
        <v>71</v>
      </c>
      <c r="M132" s="32" t="str">
        <f t="shared" si="20"/>
        <v>DELETE FROM M_WORD WHERE ID = 71;</v>
      </c>
      <c r="N132" s="32" t="str">
        <f t="shared" si="19"/>
        <v>INSERT INTO M_WORD VALUES(</v>
      </c>
      <c r="O132" s="32" t="str">
        <f t="shared" si="21"/>
        <v>71,"SystemWalker",6,"Fujitsu",FALSE</v>
      </c>
      <c r="P132" s="18" t="s">
        <v>108</v>
      </c>
    </row>
    <row r="133" spans="2:16">
      <c r="B133" s="34" t="s">
        <v>111</v>
      </c>
      <c r="C133" s="34">
        <v>72</v>
      </c>
      <c r="D133" s="34" t="s">
        <v>220</v>
      </c>
      <c r="E133" s="35">
        <f t="shared" si="18"/>
        <v>6</v>
      </c>
      <c r="F133" s="34" t="s">
        <v>186</v>
      </c>
      <c r="G133" s="34" t="b">
        <v>0</v>
      </c>
      <c r="H133" s="18" t="s">
        <v>265</v>
      </c>
      <c r="I133" s="34">
        <v>72</v>
      </c>
      <c r="M133" s="32" t="str">
        <f t="shared" si="20"/>
        <v>DELETE FROM M_WORD WHERE ID = 72;</v>
      </c>
      <c r="N133" s="32" t="str">
        <f t="shared" si="19"/>
        <v>INSERT INTO M_WORD VALUES(</v>
      </c>
      <c r="O133" s="32" t="str">
        <f t="shared" si="21"/>
        <v>72,"Vagrant",6,"OSS",FALSE</v>
      </c>
      <c r="P133" s="18" t="s">
        <v>108</v>
      </c>
    </row>
    <row r="134" spans="2:16">
      <c r="B134" s="34" t="s">
        <v>111</v>
      </c>
      <c r="C134" s="34">
        <v>73</v>
      </c>
      <c r="D134" s="34" t="s">
        <v>221</v>
      </c>
      <c r="E134" s="35">
        <f t="shared" si="18"/>
        <v>6</v>
      </c>
      <c r="F134" s="34" t="s">
        <v>186</v>
      </c>
      <c r="G134" s="34" t="b">
        <v>0</v>
      </c>
      <c r="H134" s="18" t="s">
        <v>265</v>
      </c>
      <c r="I134" s="34">
        <v>73</v>
      </c>
      <c r="M134" s="32" t="str">
        <f t="shared" si="20"/>
        <v>DELETE FROM M_WORD WHERE ID = 73;</v>
      </c>
      <c r="N134" s="32" t="str">
        <f t="shared" si="19"/>
        <v>INSERT INTO M_WORD VALUES(</v>
      </c>
      <c r="O134" s="32" t="str">
        <f t="shared" si="21"/>
        <v>73,"Docker",6,"OSS",FALSE</v>
      </c>
      <c r="P134" s="18" t="s">
        <v>108</v>
      </c>
    </row>
    <row r="135" spans="2:16">
      <c r="B135" s="34" t="s">
        <v>111</v>
      </c>
      <c r="C135" s="34">
        <v>74</v>
      </c>
      <c r="D135" s="34" t="s">
        <v>222</v>
      </c>
      <c r="E135" s="35">
        <f t="shared" si="18"/>
        <v>7</v>
      </c>
      <c r="F135" s="34" t="s">
        <v>223</v>
      </c>
      <c r="G135" s="34" t="b">
        <v>0</v>
      </c>
      <c r="H135" s="18" t="s">
        <v>266</v>
      </c>
      <c r="I135" s="34">
        <v>74</v>
      </c>
      <c r="M135" s="32" t="str">
        <f t="shared" si="20"/>
        <v>DELETE FROM M_WORD WHERE ID = 74;</v>
      </c>
      <c r="N135" s="32" t="str">
        <f t="shared" si="19"/>
        <v>INSERT INTO M_WORD VALUES(</v>
      </c>
      <c r="O135" s="32" t="str">
        <f t="shared" si="21"/>
        <v>74,"AWS",7,"Amazon",FALSE</v>
      </c>
      <c r="P135" s="18" t="s">
        <v>108</v>
      </c>
    </row>
    <row r="136" spans="2:16">
      <c r="B136" s="34" t="s">
        <v>111</v>
      </c>
      <c r="C136" s="34">
        <v>75</v>
      </c>
      <c r="D136" s="34" t="s">
        <v>224</v>
      </c>
      <c r="E136" s="35">
        <f t="shared" si="18"/>
        <v>7</v>
      </c>
      <c r="F136" s="34" t="s">
        <v>223</v>
      </c>
      <c r="G136" s="34" t="b">
        <v>0</v>
      </c>
      <c r="H136" s="18" t="s">
        <v>266</v>
      </c>
      <c r="I136" s="34">
        <v>75</v>
      </c>
      <c r="M136" s="32" t="str">
        <f t="shared" si="20"/>
        <v>DELETE FROM M_WORD WHERE ID = 75;</v>
      </c>
      <c r="N136" s="32" t="str">
        <f t="shared" si="19"/>
        <v>INSERT INTO M_WORD VALUES(</v>
      </c>
      <c r="O136" s="32" t="str">
        <f t="shared" si="21"/>
        <v>75,"AmazonWebService",7,"Amazon",FALSE</v>
      </c>
      <c r="P136" s="18" t="s">
        <v>108</v>
      </c>
    </row>
    <row r="137" spans="2:16">
      <c r="B137" s="34" t="s">
        <v>111</v>
      </c>
      <c r="C137" s="34">
        <v>76</v>
      </c>
      <c r="D137" s="34" t="s">
        <v>225</v>
      </c>
      <c r="E137" s="35">
        <f t="shared" si="18"/>
        <v>7</v>
      </c>
      <c r="F137" s="34" t="s">
        <v>144</v>
      </c>
      <c r="G137" s="34" t="b">
        <v>0</v>
      </c>
      <c r="H137" s="18" t="s">
        <v>266</v>
      </c>
      <c r="I137" s="34">
        <v>76</v>
      </c>
      <c r="M137" s="32" t="str">
        <f t="shared" si="20"/>
        <v>DELETE FROM M_WORD WHERE ID = 76;</v>
      </c>
      <c r="N137" s="32" t="str">
        <f t="shared" si="19"/>
        <v>INSERT INTO M_WORD VALUES(</v>
      </c>
      <c r="O137" s="32" t="str">
        <f t="shared" si="21"/>
        <v>76,"Google Cloud Platform",7,"Google",FALSE</v>
      </c>
      <c r="P137" s="18" t="s">
        <v>108</v>
      </c>
    </row>
    <row r="138" spans="2:16">
      <c r="B138" s="34" t="s">
        <v>111</v>
      </c>
      <c r="C138" s="34">
        <v>77</v>
      </c>
      <c r="D138" s="34" t="s">
        <v>226</v>
      </c>
      <c r="E138" s="35">
        <f t="shared" si="18"/>
        <v>7</v>
      </c>
      <c r="F138" s="34" t="s">
        <v>142</v>
      </c>
      <c r="G138" s="34" t="b">
        <v>0</v>
      </c>
      <c r="H138" s="18" t="s">
        <v>266</v>
      </c>
      <c r="I138" s="34">
        <v>77</v>
      </c>
      <c r="M138" s="32" t="str">
        <f t="shared" si="20"/>
        <v>DELETE FROM M_WORD WHERE ID = 77;</v>
      </c>
      <c r="N138" s="32" t="str">
        <f t="shared" si="19"/>
        <v>INSERT INTO M_WORD VALUES(</v>
      </c>
      <c r="O138" s="32" t="str">
        <f t="shared" si="21"/>
        <v>77,"Azure",7,"MicroSoft",FALSE</v>
      </c>
      <c r="P138" s="18" t="s">
        <v>108</v>
      </c>
    </row>
    <row r="139" spans="2:16">
      <c r="B139" s="34" t="s">
        <v>111</v>
      </c>
      <c r="C139" s="34">
        <v>78</v>
      </c>
      <c r="D139" s="34" t="s">
        <v>227</v>
      </c>
      <c r="E139" s="35">
        <f t="shared" si="18"/>
        <v>8</v>
      </c>
      <c r="F139" s="34" t="s">
        <v>228</v>
      </c>
      <c r="G139" s="34" t="b">
        <v>0</v>
      </c>
      <c r="H139" s="18" t="s">
        <v>267</v>
      </c>
      <c r="I139" s="34">
        <v>78</v>
      </c>
      <c r="M139" s="32" t="str">
        <f t="shared" si="20"/>
        <v>DELETE FROM M_WORD WHERE ID = 78;</v>
      </c>
      <c r="N139" s="32" t="str">
        <f t="shared" si="19"/>
        <v>INSERT INTO M_WORD VALUES(</v>
      </c>
      <c r="O139" s="32" t="str">
        <f t="shared" si="21"/>
        <v>78,"Facebook",8,"SNS",FALSE</v>
      </c>
      <c r="P139" s="18" t="s">
        <v>108</v>
      </c>
    </row>
    <row r="140" spans="2:16">
      <c r="B140" s="34" t="s">
        <v>111</v>
      </c>
      <c r="C140" s="34">
        <v>79</v>
      </c>
      <c r="D140" s="34" t="s">
        <v>229</v>
      </c>
      <c r="E140" s="35">
        <f t="shared" si="18"/>
        <v>8</v>
      </c>
      <c r="F140" s="34" t="s">
        <v>228</v>
      </c>
      <c r="G140" s="34" t="b">
        <v>0</v>
      </c>
      <c r="H140" s="18" t="s">
        <v>267</v>
      </c>
      <c r="I140" s="34">
        <v>79</v>
      </c>
      <c r="M140" s="32" t="str">
        <f t="shared" si="20"/>
        <v>DELETE FROM M_WORD WHERE ID = 79;</v>
      </c>
      <c r="N140" s="32" t="str">
        <f t="shared" si="19"/>
        <v>INSERT INTO M_WORD VALUES(</v>
      </c>
      <c r="O140" s="32" t="str">
        <f t="shared" si="21"/>
        <v>79,"Twitter",8,"SNS",FALSE</v>
      </c>
      <c r="P140" s="18" t="s">
        <v>108</v>
      </c>
    </row>
    <row r="141" spans="2:16">
      <c r="B141" s="34" t="s">
        <v>111</v>
      </c>
      <c r="C141" s="34">
        <v>80</v>
      </c>
      <c r="D141" s="34" t="s">
        <v>230</v>
      </c>
      <c r="E141" s="35">
        <f t="shared" si="18"/>
        <v>8</v>
      </c>
      <c r="F141" s="34" t="s">
        <v>228</v>
      </c>
      <c r="G141" s="34" t="b">
        <v>0</v>
      </c>
      <c r="H141" s="18" t="s">
        <v>267</v>
      </c>
      <c r="I141" s="34">
        <v>80</v>
      </c>
      <c r="M141" s="32" t="str">
        <f t="shared" si="20"/>
        <v>DELETE FROM M_WORD WHERE ID = 80;</v>
      </c>
      <c r="N141" s="32" t="str">
        <f t="shared" si="19"/>
        <v>INSERT INTO M_WORD VALUES(</v>
      </c>
      <c r="O141" s="32" t="str">
        <f t="shared" si="21"/>
        <v>80,"Instagram",8,"SNS",FALSE</v>
      </c>
      <c r="P141" s="18" t="s">
        <v>108</v>
      </c>
    </row>
    <row r="142" spans="2:16">
      <c r="B142" s="34" t="s">
        <v>111</v>
      </c>
      <c r="C142" s="34">
        <v>81</v>
      </c>
      <c r="D142" s="34" t="s">
        <v>231</v>
      </c>
      <c r="E142" s="35">
        <f t="shared" si="18"/>
        <v>1</v>
      </c>
      <c r="F142" s="34" t="s">
        <v>232</v>
      </c>
      <c r="G142" s="34" t="b">
        <v>0</v>
      </c>
      <c r="H142" s="18" t="s">
        <v>260</v>
      </c>
      <c r="I142" s="34">
        <v>81</v>
      </c>
      <c r="M142" s="32" t="str">
        <f t="shared" si="20"/>
        <v>DELETE FROM M_WORD WHERE ID = 81;</v>
      </c>
      <c r="N142" s="32" t="str">
        <f t="shared" si="19"/>
        <v>INSERT INTO M_WORD VALUES(</v>
      </c>
      <c r="O142" s="32" t="str">
        <f t="shared" si="21"/>
        <v>81,"Google Apps",1,"Google|web",FALSE</v>
      </c>
      <c r="P142" s="18" t="s">
        <v>108</v>
      </c>
    </row>
    <row r="143" spans="2:16">
      <c r="B143" s="34" t="s">
        <v>111</v>
      </c>
      <c r="C143" s="34">
        <v>82</v>
      </c>
      <c r="D143" s="34" t="s">
        <v>233</v>
      </c>
      <c r="E143" s="35">
        <f t="shared" si="18"/>
        <v>1</v>
      </c>
      <c r="F143" s="34" t="s">
        <v>132</v>
      </c>
      <c r="G143" s="34" t="b">
        <v>0</v>
      </c>
      <c r="H143" s="18" t="s">
        <v>260</v>
      </c>
      <c r="I143" s="34">
        <v>82</v>
      </c>
      <c r="M143" s="32" t="str">
        <f t="shared" si="20"/>
        <v>DELETE FROM M_WORD WHERE ID = 82;</v>
      </c>
      <c r="N143" s="32" t="str">
        <f t="shared" si="19"/>
        <v>INSERT INTO M_WORD VALUES(</v>
      </c>
      <c r="O143" s="32" t="str">
        <f t="shared" si="21"/>
        <v>82,"Salesforce",1,"web",FALSE</v>
      </c>
      <c r="P143" s="18" t="s">
        <v>108</v>
      </c>
    </row>
    <row r="144" spans="2:16">
      <c r="B144" s="34" t="s">
        <v>111</v>
      </c>
      <c r="C144" s="34">
        <v>83</v>
      </c>
      <c r="D144" s="34" t="s">
        <v>234</v>
      </c>
      <c r="E144" s="35">
        <f t="shared" si="18"/>
        <v>9</v>
      </c>
      <c r="F144" s="34"/>
      <c r="G144" s="34" t="b">
        <v>0</v>
      </c>
      <c r="H144" s="18" t="s">
        <v>268</v>
      </c>
      <c r="I144" s="34">
        <v>83</v>
      </c>
      <c r="M144" s="32" t="str">
        <f t="shared" si="20"/>
        <v>DELETE FROM M_WORD WHERE ID = 83;</v>
      </c>
      <c r="N144" s="32" t="str">
        <f t="shared" si="19"/>
        <v>INSERT INTO M_WORD VALUES(</v>
      </c>
      <c r="O144" s="32" t="str">
        <f t="shared" si="21"/>
        <v>83,"ITIL",9,"",FALSE</v>
      </c>
      <c r="P144" s="18" t="s">
        <v>108</v>
      </c>
    </row>
    <row r="145" spans="2:16">
      <c r="B145" s="34" t="s">
        <v>111</v>
      </c>
      <c r="C145" s="34">
        <v>84</v>
      </c>
      <c r="D145" s="34" t="s">
        <v>235</v>
      </c>
      <c r="E145" s="35">
        <f t="shared" si="18"/>
        <v>9</v>
      </c>
      <c r="F145" s="34"/>
      <c r="G145" s="34" t="b">
        <v>0</v>
      </c>
      <c r="H145" s="18" t="s">
        <v>268</v>
      </c>
      <c r="I145" s="34">
        <v>84</v>
      </c>
      <c r="M145" s="32" t="str">
        <f t="shared" si="20"/>
        <v>DELETE FROM M_WORD WHERE ID = 84;</v>
      </c>
      <c r="N145" s="32" t="str">
        <f t="shared" si="19"/>
        <v>INSERT INTO M_WORD VALUES(</v>
      </c>
      <c r="O145" s="32" t="str">
        <f t="shared" si="21"/>
        <v>84,"REST",9,"",FALSE</v>
      </c>
      <c r="P145" s="18" t="s">
        <v>108</v>
      </c>
    </row>
    <row r="146" spans="2:16">
      <c r="B146" s="34" t="s">
        <v>111</v>
      </c>
      <c r="C146" s="34">
        <v>85</v>
      </c>
      <c r="D146" s="34" t="s">
        <v>236</v>
      </c>
      <c r="E146" s="35">
        <f t="shared" si="18"/>
        <v>9</v>
      </c>
      <c r="F146" s="34"/>
      <c r="G146" s="34" t="b">
        <v>0</v>
      </c>
      <c r="H146" s="18" t="s">
        <v>268</v>
      </c>
      <c r="I146" s="34">
        <v>85</v>
      </c>
      <c r="M146" s="32" t="str">
        <f t="shared" si="20"/>
        <v>DELETE FROM M_WORD WHERE ID = 85;</v>
      </c>
      <c r="N146" s="32" t="str">
        <f t="shared" si="19"/>
        <v>INSERT INTO M_WORD VALUES(</v>
      </c>
      <c r="O146" s="32" t="str">
        <f t="shared" si="21"/>
        <v>85,"LAMP",9,"",FALSE</v>
      </c>
      <c r="P146" s="18" t="s">
        <v>108</v>
      </c>
    </row>
    <row r="147" spans="2:16">
      <c r="B147" s="34" t="s">
        <v>111</v>
      </c>
      <c r="C147" s="34">
        <v>86</v>
      </c>
      <c r="D147" s="34" t="s">
        <v>237</v>
      </c>
      <c r="E147" s="35">
        <f t="shared" si="18"/>
        <v>1</v>
      </c>
      <c r="F147" s="34" t="s">
        <v>132</v>
      </c>
      <c r="G147" s="34" t="b">
        <v>0</v>
      </c>
      <c r="H147" s="18" t="s">
        <v>260</v>
      </c>
      <c r="I147" s="34">
        <v>86</v>
      </c>
      <c r="M147" s="32" t="str">
        <f t="shared" si="20"/>
        <v>DELETE FROM M_WORD WHERE ID = 86;</v>
      </c>
      <c r="N147" s="32" t="str">
        <f t="shared" si="19"/>
        <v>INSERT INTO M_WORD VALUES(</v>
      </c>
      <c r="O147" s="32" t="str">
        <f t="shared" si="21"/>
        <v>86,"ColdFusion",1,"web",FALSE</v>
      </c>
      <c r="P147" s="18" t="s">
        <v>108</v>
      </c>
    </row>
    <row r="148" spans="2:16">
      <c r="B148" s="34" t="s">
        <v>111</v>
      </c>
      <c r="C148" s="34">
        <v>87</v>
      </c>
      <c r="D148" s="34" t="s">
        <v>238</v>
      </c>
      <c r="E148" s="35">
        <f t="shared" si="18"/>
        <v>2</v>
      </c>
      <c r="F148" s="34" t="s">
        <v>239</v>
      </c>
      <c r="G148" s="34" t="b">
        <v>0</v>
      </c>
      <c r="H148" s="18" t="s">
        <v>261</v>
      </c>
      <c r="I148" s="34">
        <v>87</v>
      </c>
      <c r="M148" s="32" t="str">
        <f t="shared" si="20"/>
        <v>DELETE FROM M_WORD WHERE ID = 87;</v>
      </c>
      <c r="N148" s="32" t="str">
        <f t="shared" si="19"/>
        <v>INSERT INTO M_WORD VALUES(</v>
      </c>
      <c r="O148" s="32" t="str">
        <f t="shared" si="21"/>
        <v>87,"OS.js",2,"oss",FALSE</v>
      </c>
      <c r="P148" s="18" t="s">
        <v>108</v>
      </c>
    </row>
    <row r="149" spans="2:16">
      <c r="B149" s="34" t="s">
        <v>111</v>
      </c>
      <c r="C149" s="34">
        <v>88</v>
      </c>
      <c r="D149" s="34" t="s">
        <v>240</v>
      </c>
      <c r="E149" s="35">
        <f t="shared" si="18"/>
        <v>9</v>
      </c>
      <c r="F149" s="34" t="s">
        <v>241</v>
      </c>
      <c r="G149" s="34" t="b">
        <v>1</v>
      </c>
      <c r="H149" s="18" t="s">
        <v>271</v>
      </c>
      <c r="I149" s="34">
        <v>88</v>
      </c>
      <c r="M149" s="32" t="str">
        <f t="shared" si="20"/>
        <v>DELETE FROM M_WORD WHERE ID = 88;</v>
      </c>
      <c r="N149" s="32" t="str">
        <f t="shared" si="19"/>
        <v>INSERT INTO M_WORD VALUES(</v>
      </c>
      <c r="O149" s="32" t="str">
        <f t="shared" si="21"/>
        <v>88,"kintone",9,"cybose",TRUE</v>
      </c>
      <c r="P149" s="18" t="s">
        <v>108</v>
      </c>
    </row>
    <row r="150" spans="2:16">
      <c r="B150" s="34" t="s">
        <v>111</v>
      </c>
      <c r="C150" s="34">
        <v>89</v>
      </c>
      <c r="D150" s="34" t="s">
        <v>242</v>
      </c>
      <c r="E150" s="35">
        <f t="shared" si="18"/>
        <v>9</v>
      </c>
      <c r="F150" s="34" t="s">
        <v>239</v>
      </c>
      <c r="G150" s="34" t="b">
        <v>0</v>
      </c>
      <c r="H150" s="18" t="s">
        <v>268</v>
      </c>
      <c r="I150" s="34">
        <v>89</v>
      </c>
      <c r="M150" s="32" t="str">
        <f t="shared" si="20"/>
        <v>DELETE FROM M_WORD WHERE ID = 89;</v>
      </c>
      <c r="N150" s="32" t="str">
        <f t="shared" si="19"/>
        <v>INSERT INTO M_WORD VALUES(</v>
      </c>
      <c r="O150" s="32" t="str">
        <f t="shared" si="21"/>
        <v>89,"ec-cube",9,"oss",FALSE</v>
      </c>
      <c r="P150" s="18" t="s">
        <v>108</v>
      </c>
    </row>
    <row r="151" spans="2:16">
      <c r="B151" s="34" t="s">
        <v>111</v>
      </c>
      <c r="C151" s="34">
        <v>90</v>
      </c>
      <c r="D151" s="34" t="s">
        <v>243</v>
      </c>
      <c r="E151" s="35">
        <f t="shared" si="18"/>
        <v>1</v>
      </c>
      <c r="F151" s="34" t="s">
        <v>244</v>
      </c>
      <c r="G151" s="34" t="b">
        <v>0</v>
      </c>
      <c r="H151" s="18" t="s">
        <v>260</v>
      </c>
      <c r="I151" s="34">
        <v>90</v>
      </c>
      <c r="M151" s="32" t="str">
        <f t="shared" si="20"/>
        <v>DELETE FROM M_WORD WHERE ID = 90;</v>
      </c>
      <c r="N151" s="32" t="str">
        <f t="shared" si="19"/>
        <v>INSERT INTO M_WORD VALUES(</v>
      </c>
      <c r="O151" s="32" t="str">
        <f t="shared" si="21"/>
        <v>90,"Kotlin",1,"JetBrains",FALSE</v>
      </c>
      <c r="P151" s="18" t="s">
        <v>108</v>
      </c>
    </row>
    <row r="152" spans="2:16">
      <c r="B152" s="34" t="s">
        <v>111</v>
      </c>
      <c r="C152" s="34">
        <v>91</v>
      </c>
      <c r="D152" s="34" t="s">
        <v>245</v>
      </c>
      <c r="E152" s="35">
        <f t="shared" si="18"/>
        <v>1</v>
      </c>
      <c r="F152" s="34" t="s">
        <v>246</v>
      </c>
      <c r="G152" s="34" t="b">
        <v>0</v>
      </c>
      <c r="H152" s="18" t="s">
        <v>260</v>
      </c>
      <c r="I152" s="34">
        <v>91</v>
      </c>
      <c r="M152" s="32" t="str">
        <f t="shared" si="20"/>
        <v>DELETE FROM M_WORD WHERE ID = 91;</v>
      </c>
      <c r="N152" s="32" t="str">
        <f t="shared" si="19"/>
        <v>INSERT INTO M_WORD VALUES(</v>
      </c>
      <c r="O152" s="32" t="str">
        <f t="shared" si="21"/>
        <v>91,"haskell",1,"関数型",FALSE</v>
      </c>
      <c r="P152" s="18" t="s">
        <v>108</v>
      </c>
    </row>
    <row r="153" spans="2:16">
      <c r="B153" s="34" t="s">
        <v>111</v>
      </c>
      <c r="C153" s="34">
        <v>92</v>
      </c>
      <c r="D153" s="34" t="s">
        <v>247</v>
      </c>
      <c r="E153" s="35">
        <f t="shared" si="18"/>
        <v>1</v>
      </c>
      <c r="F153" s="34"/>
      <c r="G153" s="34" t="b">
        <v>0</v>
      </c>
      <c r="H153" s="18" t="s">
        <v>260</v>
      </c>
      <c r="I153" s="34">
        <v>92</v>
      </c>
      <c r="M153" s="32" t="str">
        <f t="shared" si="20"/>
        <v>DELETE FROM M_WORD WHERE ID = 92;</v>
      </c>
      <c r="N153" s="32" t="str">
        <f t="shared" si="19"/>
        <v>INSERT INTO M_WORD VALUES(</v>
      </c>
      <c r="O153" s="32" t="str">
        <f t="shared" si="21"/>
        <v>92,"R",1,"",FALSE</v>
      </c>
      <c r="P153" s="18" t="s">
        <v>108</v>
      </c>
    </row>
    <row r="154" spans="2:16">
      <c r="B154" s="34" t="s">
        <v>111</v>
      </c>
      <c r="C154" s="34">
        <v>93</v>
      </c>
      <c r="D154" s="34" t="s">
        <v>248</v>
      </c>
      <c r="E154" s="35">
        <f t="shared" si="18"/>
        <v>1</v>
      </c>
      <c r="F154" s="34"/>
      <c r="G154" s="34" t="b">
        <v>0</v>
      </c>
      <c r="H154" s="18" t="s">
        <v>260</v>
      </c>
      <c r="I154" s="34">
        <v>93</v>
      </c>
      <c r="M154" s="32" t="str">
        <f t="shared" si="20"/>
        <v>DELETE FROM M_WORD WHERE ID = 93;</v>
      </c>
      <c r="N154" s="32" t="str">
        <f t="shared" si="19"/>
        <v>INSERT INTO M_WORD VALUES(</v>
      </c>
      <c r="O154" s="32" t="str">
        <f t="shared" si="21"/>
        <v>93,"R言語",1,"",FALSE</v>
      </c>
      <c r="P154" s="18" t="s">
        <v>108</v>
      </c>
    </row>
    <row r="155" spans="2:16">
      <c r="B155" s="34" t="s">
        <v>111</v>
      </c>
      <c r="C155" s="34">
        <v>94</v>
      </c>
      <c r="D155" s="34" t="s">
        <v>249</v>
      </c>
      <c r="E155" s="35">
        <f t="shared" si="18"/>
        <v>1</v>
      </c>
      <c r="F155" s="34"/>
      <c r="G155" s="34" t="b">
        <v>0</v>
      </c>
      <c r="H155" s="18" t="s">
        <v>260</v>
      </c>
      <c r="I155" s="34">
        <v>94</v>
      </c>
      <c r="M155" s="32" t="str">
        <f t="shared" si="20"/>
        <v>DELETE FROM M_WORD WHERE ID = 94;</v>
      </c>
      <c r="N155" s="32" t="str">
        <f t="shared" si="19"/>
        <v>INSERT INTO M_WORD VALUES(</v>
      </c>
      <c r="O155" s="32" t="str">
        <f t="shared" si="21"/>
        <v>94,"go言語",1,"",FALSE</v>
      </c>
      <c r="P155" s="18" t="s">
        <v>108</v>
      </c>
    </row>
    <row r="156" spans="2:16">
      <c r="B156" s="34" t="s">
        <v>111</v>
      </c>
      <c r="C156" s="34">
        <v>95</v>
      </c>
      <c r="D156" s="34" t="s">
        <v>250</v>
      </c>
      <c r="E156" s="35">
        <f t="shared" si="18"/>
        <v>1</v>
      </c>
      <c r="F156" s="34"/>
      <c r="G156" s="34" t="b">
        <v>0</v>
      </c>
      <c r="H156" s="18" t="s">
        <v>260</v>
      </c>
      <c r="I156" s="34">
        <v>95</v>
      </c>
      <c r="M156" s="32" t="str">
        <f t="shared" si="20"/>
        <v>DELETE FROM M_WORD WHERE ID = 95;</v>
      </c>
      <c r="N156" s="32" t="str">
        <f t="shared" si="19"/>
        <v>INSERT INTO M_WORD VALUES(</v>
      </c>
      <c r="O156" s="32" t="str">
        <f t="shared" si="21"/>
        <v>95,"C言語",1,"",FALSE</v>
      </c>
      <c r="P156" s="18" t="s">
        <v>108</v>
      </c>
    </row>
    <row r="157" spans="2:16">
      <c r="B157" s="34" t="s">
        <v>111</v>
      </c>
      <c r="C157" s="34">
        <v>96</v>
      </c>
      <c r="D157" s="34" t="s">
        <v>251</v>
      </c>
      <c r="E157" s="35">
        <f t="shared" si="18"/>
        <v>2</v>
      </c>
      <c r="F157" s="34" t="s">
        <v>136</v>
      </c>
      <c r="G157" s="34" t="b">
        <v>0</v>
      </c>
      <c r="H157" s="18" t="s">
        <v>261</v>
      </c>
      <c r="I157" s="34">
        <v>96</v>
      </c>
      <c r="M157" s="32" t="str">
        <f t="shared" si="20"/>
        <v>DELETE FROM M_WORD WHERE ID = 96;</v>
      </c>
      <c r="N157" s="32" t="str">
        <f t="shared" si="19"/>
        <v>INSERT INTO M_WORD VALUES(</v>
      </c>
      <c r="O157" s="32" t="str">
        <f t="shared" si="21"/>
        <v>96,"FuelPHP",2,"PHP",FALSE</v>
      </c>
      <c r="P157" s="18" t="s">
        <v>108</v>
      </c>
    </row>
    <row r="158" spans="2:16">
      <c r="B158" s="34" t="s">
        <v>111</v>
      </c>
      <c r="C158" s="34">
        <v>97</v>
      </c>
      <c r="D158" s="34" t="s">
        <v>252</v>
      </c>
      <c r="E158" s="35">
        <f t="shared" ref="E158:E165" si="22">VLOOKUP(H158,$D$48:$F$56,3,FALSE)</f>
        <v>2</v>
      </c>
      <c r="F158" s="34" t="s">
        <v>239</v>
      </c>
      <c r="G158" s="34" t="b">
        <v>0</v>
      </c>
      <c r="H158" s="18" t="s">
        <v>261</v>
      </c>
      <c r="I158" s="34">
        <v>97</v>
      </c>
      <c r="M158" s="32" t="str">
        <f t="shared" si="20"/>
        <v>DELETE FROM M_WORD WHERE ID = 97;</v>
      </c>
      <c r="N158" s="32" t="str">
        <f t="shared" si="19"/>
        <v>INSERT INTO M_WORD VALUES(</v>
      </c>
      <c r="O158" s="32" t="str">
        <f t="shared" si="21"/>
        <v>97,"bootstrap",2,"oss",FALSE</v>
      </c>
      <c r="P158" s="18" t="s">
        <v>108</v>
      </c>
    </row>
    <row r="159" spans="2:16">
      <c r="B159" s="34" t="s">
        <v>111</v>
      </c>
      <c r="C159" s="34">
        <v>98</v>
      </c>
      <c r="D159" s="34" t="s">
        <v>253</v>
      </c>
      <c r="E159" s="35">
        <f t="shared" si="22"/>
        <v>2</v>
      </c>
      <c r="F159" s="34"/>
      <c r="G159" s="34" t="b">
        <v>0</v>
      </c>
      <c r="H159" s="18" t="s">
        <v>261</v>
      </c>
      <c r="I159" s="34">
        <v>98</v>
      </c>
      <c r="M159" s="32" t="str">
        <f t="shared" si="20"/>
        <v>DELETE FROM M_WORD WHERE ID = 98;</v>
      </c>
      <c r="N159" s="32" t="str">
        <f t="shared" si="19"/>
        <v>INSERT INTO M_WORD VALUES(</v>
      </c>
      <c r="O159" s="32" t="str">
        <f t="shared" si="21"/>
        <v>98,"Hadoop",2,"",FALSE</v>
      </c>
      <c r="P159" s="18" t="s">
        <v>108</v>
      </c>
    </row>
    <row r="160" spans="2:16">
      <c r="B160" s="34" t="s">
        <v>111</v>
      </c>
      <c r="C160" s="34">
        <v>99</v>
      </c>
      <c r="D160" s="34" t="s">
        <v>254</v>
      </c>
      <c r="E160" s="35">
        <f t="shared" si="22"/>
        <v>5</v>
      </c>
      <c r="F160" s="34" t="s">
        <v>186</v>
      </c>
      <c r="G160" s="34" t="b">
        <v>0</v>
      </c>
      <c r="H160" s="18" t="s">
        <v>264</v>
      </c>
      <c r="I160" s="34">
        <v>99</v>
      </c>
      <c r="M160" s="32" t="str">
        <f t="shared" si="20"/>
        <v>DELETE FROM M_WORD WHERE ID = 99;</v>
      </c>
      <c r="N160" s="32" t="str">
        <f t="shared" si="19"/>
        <v>INSERT INTO M_WORD VALUES(</v>
      </c>
      <c r="O160" s="32" t="str">
        <f t="shared" si="21"/>
        <v>99,"memcached",5,"OSS",FALSE</v>
      </c>
      <c r="P160" s="18" t="s">
        <v>108</v>
      </c>
    </row>
    <row r="161" spans="2:16">
      <c r="B161" s="34" t="s">
        <v>111</v>
      </c>
      <c r="C161" s="34">
        <v>100</v>
      </c>
      <c r="D161" s="34" t="s">
        <v>255</v>
      </c>
      <c r="E161" s="35">
        <f t="shared" si="22"/>
        <v>5</v>
      </c>
      <c r="F161" s="34"/>
      <c r="G161" s="34" t="b">
        <v>0</v>
      </c>
      <c r="H161" s="18" t="s">
        <v>264</v>
      </c>
      <c r="I161" s="34">
        <v>100</v>
      </c>
      <c r="M161" s="32" t="str">
        <f t="shared" si="20"/>
        <v>DELETE FROM M_WORD WHERE ID = 100;</v>
      </c>
      <c r="N161" s="32" t="str">
        <f t="shared" si="19"/>
        <v>INSERT INTO M_WORD VALUES(</v>
      </c>
      <c r="O161" s="32" t="str">
        <f t="shared" si="21"/>
        <v>100,"Redis",5,"",FALSE</v>
      </c>
      <c r="P161" s="18" t="s">
        <v>108</v>
      </c>
    </row>
    <row r="162" spans="2:16">
      <c r="B162" s="34" t="s">
        <v>111</v>
      </c>
      <c r="C162" s="34">
        <v>101</v>
      </c>
      <c r="D162" s="34" t="s">
        <v>256</v>
      </c>
      <c r="E162" s="35">
        <f t="shared" si="22"/>
        <v>6</v>
      </c>
      <c r="F162" s="34" t="s">
        <v>186</v>
      </c>
      <c r="G162" s="34" t="b">
        <v>0</v>
      </c>
      <c r="H162" s="18" t="s">
        <v>265</v>
      </c>
      <c r="I162" s="34">
        <v>101</v>
      </c>
      <c r="M162" s="32" t="str">
        <f t="shared" si="20"/>
        <v>DELETE FROM M_WORD WHERE ID = 101;</v>
      </c>
      <c r="N162" s="32" t="str">
        <f t="shared" si="19"/>
        <v>INSERT INTO M_WORD VALUES(</v>
      </c>
      <c r="O162" s="32" t="str">
        <f t="shared" si="21"/>
        <v>101,"Zabbix",6,"OSS",FALSE</v>
      </c>
      <c r="P162" s="18" t="s">
        <v>108</v>
      </c>
    </row>
    <row r="163" spans="2:16">
      <c r="B163" s="34" t="s">
        <v>111</v>
      </c>
      <c r="C163" s="34">
        <v>102</v>
      </c>
      <c r="D163" s="34" t="s">
        <v>257</v>
      </c>
      <c r="E163" s="35">
        <f t="shared" si="22"/>
        <v>6</v>
      </c>
      <c r="F163" s="34" t="s">
        <v>186</v>
      </c>
      <c r="G163" s="34" t="b">
        <v>0</v>
      </c>
      <c r="H163" s="18" t="s">
        <v>265</v>
      </c>
      <c r="I163" s="34">
        <v>102</v>
      </c>
      <c r="M163" s="32" t="str">
        <f t="shared" si="20"/>
        <v>DELETE FROM M_WORD WHERE ID = 102;</v>
      </c>
      <c r="N163" s="32" t="str">
        <f t="shared" si="19"/>
        <v>INSERT INTO M_WORD VALUES(</v>
      </c>
      <c r="O163" s="32" t="str">
        <f t="shared" si="21"/>
        <v>102,"Nagios",6,"OSS",FALSE</v>
      </c>
      <c r="P163" s="18" t="s">
        <v>108</v>
      </c>
    </row>
    <row r="164" spans="2:16">
      <c r="B164" s="34" t="s">
        <v>111</v>
      </c>
      <c r="C164" s="34">
        <v>103</v>
      </c>
      <c r="D164" s="34" t="s">
        <v>258</v>
      </c>
      <c r="E164" s="35">
        <f t="shared" si="22"/>
        <v>6</v>
      </c>
      <c r="F164" s="34" t="s">
        <v>186</v>
      </c>
      <c r="G164" s="34" t="b">
        <v>0</v>
      </c>
      <c r="H164" s="18" t="s">
        <v>265</v>
      </c>
      <c r="I164" s="34">
        <v>103</v>
      </c>
      <c r="M164" s="32" t="str">
        <f t="shared" si="20"/>
        <v>DELETE FROM M_WORD WHERE ID = 103;</v>
      </c>
      <c r="N164" s="32" t="str">
        <f t="shared" si="19"/>
        <v>INSERT INTO M_WORD VALUES(</v>
      </c>
      <c r="O164" s="32" t="str">
        <f t="shared" si="21"/>
        <v>103,"Fluentd",6,"OSS",FALSE</v>
      </c>
      <c r="P164" s="18" t="s">
        <v>108</v>
      </c>
    </row>
    <row r="165" spans="2:16">
      <c r="B165" s="34" t="s">
        <v>111</v>
      </c>
      <c r="C165" s="34">
        <v>104</v>
      </c>
      <c r="D165" s="34" t="s">
        <v>259</v>
      </c>
      <c r="E165" s="35">
        <f t="shared" si="22"/>
        <v>6</v>
      </c>
      <c r="F165" s="34" t="s">
        <v>186</v>
      </c>
      <c r="G165" s="34" t="b">
        <v>0</v>
      </c>
      <c r="H165" s="18" t="s">
        <v>265</v>
      </c>
      <c r="I165" s="34">
        <v>104</v>
      </c>
      <c r="M165" s="32" t="str">
        <f t="shared" si="20"/>
        <v>DELETE FROM M_WORD WHERE ID = 104;</v>
      </c>
      <c r="N165" s="32" t="str">
        <f t="shared" si="19"/>
        <v>INSERT INTO M_WORD VALUES(</v>
      </c>
      <c r="O165" s="32" t="str">
        <f t="shared" si="21"/>
        <v>104,"capistrano",6,"OSS",FALSE</v>
      </c>
      <c r="P165" s="18" t="s">
        <v>108</v>
      </c>
    </row>
    <row r="166" spans="2:16">
      <c r="B166" s="34" t="s">
        <v>82</v>
      </c>
      <c r="C166" s="34">
        <v>105</v>
      </c>
      <c r="D166" s="34" t="s">
        <v>375</v>
      </c>
      <c r="E166" s="35">
        <f t="shared" ref="E166" si="23">VLOOKUP(H166,$D$48:$F$56,3,FALSE)</f>
        <v>1</v>
      </c>
      <c r="F166" s="34"/>
      <c r="G166" s="34" t="b">
        <v>0</v>
      </c>
      <c r="H166" s="18" t="s">
        <v>260</v>
      </c>
      <c r="I166" s="34">
        <v>105</v>
      </c>
      <c r="M166" s="32" t="str">
        <f t="shared" ref="M166" si="24">"DELETE FROM " &amp; $B166 &amp; " WHERE ID = " &amp; C166 &amp; ";"</f>
        <v>DELETE FROM M_WORD WHERE ID = 105;</v>
      </c>
      <c r="N166" s="32" t="str">
        <f t="shared" si="19"/>
        <v>INSERT INTO M_WORD VALUES(</v>
      </c>
      <c r="O166" s="32" t="str">
        <f t="shared" ref="O166" si="25" xml:space="preserve"> IF(IFERROR(FIND("VAR",C$61),0)&gt;0,""""&amp; C166 &amp; """",C166) &amp; "," &amp; IF(IFERROR(FIND("VAR",D$61),0)&gt;0,""""&amp; D166 &amp; """",D166) &amp; "," &amp; IF(IFERROR(FIND("VAR",E$61),0)&gt;0,""""&amp; E166 &amp; """",E166) &amp; "," &amp;  IF(IFERROR(FIND("VAR",F$61),0)&gt;0,""""&amp; F166 &amp; """",F166)&amp; "," &amp;  IF(IFERROR(FIND("VAR",G$61),0)&gt;0,""""&amp; G166 &amp; """",G166)</f>
        <v>105,"C++",1,"",FALSE</v>
      </c>
      <c r="P166" s="18" t="s">
        <v>108</v>
      </c>
    </row>
    <row r="170" spans="2:16">
      <c r="B170" s="4" t="s">
        <v>5</v>
      </c>
      <c r="C170" s="15">
        <v>1</v>
      </c>
      <c r="D170" s="15">
        <v>2</v>
      </c>
      <c r="E170" s="15">
        <v>3</v>
      </c>
      <c r="F170" s="15">
        <v>4</v>
      </c>
    </row>
    <row r="171" spans="2:16">
      <c r="B171" s="4" t="s">
        <v>6</v>
      </c>
      <c r="C171" s="16" t="s">
        <v>35</v>
      </c>
      <c r="D171" s="16" t="s">
        <v>120</v>
      </c>
      <c r="E171" s="16" t="s">
        <v>122</v>
      </c>
      <c r="F171" s="16" t="s">
        <v>30</v>
      </c>
      <c r="G171" s="33" t="s">
        <v>318</v>
      </c>
      <c r="H171" s="33" t="s">
        <v>319</v>
      </c>
    </row>
    <row r="172" spans="2:16">
      <c r="B172" s="4" t="s">
        <v>7</v>
      </c>
      <c r="C172" s="16" t="s">
        <v>125</v>
      </c>
      <c r="D172" s="16" t="s">
        <v>126</v>
      </c>
      <c r="E172" s="16" t="s">
        <v>123</v>
      </c>
      <c r="F172" s="16" t="s">
        <v>29</v>
      </c>
    </row>
    <row r="173" spans="2:16">
      <c r="B173" s="5" t="s">
        <v>8</v>
      </c>
      <c r="C173" s="16" t="s">
        <v>129</v>
      </c>
      <c r="D173" s="16" t="s">
        <v>121</v>
      </c>
      <c r="E173" s="16" t="s">
        <v>101</v>
      </c>
      <c r="F173" s="16" t="s">
        <v>128</v>
      </c>
      <c r="M173" s="18" t="s">
        <v>106</v>
      </c>
      <c r="N173" s="18" t="s">
        <v>107</v>
      </c>
    </row>
    <row r="174" spans="2:16">
      <c r="B174" s="34" t="s">
        <v>272</v>
      </c>
      <c r="C174" s="36">
        <v>20160114</v>
      </c>
      <c r="D174" s="35">
        <f>VLOOKUP(G174,$D$62:$I$165,6,FALSE)</f>
        <v>1</v>
      </c>
      <c r="E174" s="35">
        <f>VLOOKUP(H174,$D$27:$L$42,9,FALSE)</f>
        <v>1</v>
      </c>
      <c r="F174" s="34">
        <v>87</v>
      </c>
      <c r="G174" s="18" t="s">
        <v>131</v>
      </c>
      <c r="H174" s="18" t="s">
        <v>273</v>
      </c>
      <c r="M174" s="32" t="str">
        <f>"DELETE FROM " &amp; $B174 &amp; " WHERE ID = " &amp; C174 &amp; ";"</f>
        <v>DELETE FROM T_COUNT WHERE ID = 20160114;</v>
      </c>
      <c r="N174" s="32" t="str">
        <f>"INSERT INTO " &amp; $B174 &amp; " VALUES("</f>
        <v>INSERT INTO T_COUNT VALUES(</v>
      </c>
      <c r="O174" s="32" t="str">
        <f xml:space="preserve"> IF(IFERROR(FIND("DATE",C$173),0)&gt;0,""""&amp; C174 &amp; """",C174) &amp; "," &amp; IF(IFERROR(FIND("VAR",D$173),0)&gt;0,""""&amp; D174 &amp; """",D174) &amp; "," &amp; IF(IFERROR(FIND("VAR",E$173),0)&gt;0,""""&amp; E174 &amp; """",E174) &amp; "," &amp;  IF(IFERROR(FIND("VAR",F$173),0)&gt;0,""""&amp; F174 &amp; """",F174)</f>
        <v>"20160114",1,1,87</v>
      </c>
      <c r="P174" s="18" t="s">
        <v>108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L5" sqref="L5"/>
    </sheetView>
  </sheetViews>
  <sheetFormatPr defaultRowHeight="13.5"/>
  <sheetData>
    <row r="1" spans="1:6" ht="24.75" customHeight="1">
      <c r="A1" t="s">
        <v>317</v>
      </c>
      <c r="B1" t="s">
        <v>325</v>
      </c>
      <c r="C1" t="s">
        <v>326</v>
      </c>
      <c r="D1" t="s">
        <v>329</v>
      </c>
      <c r="E1" t="s">
        <v>327</v>
      </c>
      <c r="F1" t="s">
        <v>328</v>
      </c>
    </row>
    <row r="2" spans="1:6">
      <c r="A2">
        <v>20160114</v>
      </c>
      <c r="D2">
        <v>87</v>
      </c>
      <c r="E2" t="s">
        <v>369</v>
      </c>
      <c r="F2" t="s">
        <v>370</v>
      </c>
    </row>
    <row r="3" spans="1:6">
      <c r="A3">
        <v>20160114</v>
      </c>
      <c r="D3">
        <v>338</v>
      </c>
      <c r="E3" t="s">
        <v>320</v>
      </c>
      <c r="F3" t="s">
        <v>371</v>
      </c>
    </row>
    <row r="4" spans="1:6">
      <c r="A4">
        <v>20160114</v>
      </c>
      <c r="D4">
        <v>353</v>
      </c>
      <c r="E4" t="s">
        <v>320</v>
      </c>
      <c r="F4" t="s">
        <v>321</v>
      </c>
    </row>
    <row r="5" spans="1:6">
      <c r="A5">
        <v>20160114</v>
      </c>
      <c r="D5">
        <v>765</v>
      </c>
      <c r="E5" t="s">
        <v>320</v>
      </c>
      <c r="F5" t="s">
        <v>372</v>
      </c>
    </row>
    <row r="6" spans="1:6">
      <c r="A6">
        <v>20160114</v>
      </c>
      <c r="D6">
        <v>23764</v>
      </c>
      <c r="E6" t="s">
        <v>320</v>
      </c>
      <c r="F6" t="s">
        <v>373</v>
      </c>
    </row>
    <row r="7" spans="1:6">
      <c r="A7">
        <v>20160114</v>
      </c>
      <c r="D7">
        <v>0</v>
      </c>
      <c r="E7" t="s">
        <v>320</v>
      </c>
      <c r="F7" t="s">
        <v>322</v>
      </c>
    </row>
    <row r="8" spans="1:6">
      <c r="A8">
        <v>20160114</v>
      </c>
      <c r="D8">
        <v>0</v>
      </c>
      <c r="E8" t="s">
        <v>320</v>
      </c>
      <c r="F8" t="s">
        <v>323</v>
      </c>
    </row>
    <row r="9" spans="1:6">
      <c r="A9">
        <v>20160114</v>
      </c>
      <c r="D9">
        <v>114379</v>
      </c>
      <c r="E9" t="s">
        <v>374</v>
      </c>
      <c r="F9" t="s">
        <v>324</v>
      </c>
    </row>
  </sheetData>
  <autoFilter ref="A1:F38273"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nvertData">
                <anchor moveWithCells="1" sizeWithCells="1">
                  <from>
                    <xdr:col>6</xdr:col>
                    <xdr:colOff>28575</xdr:colOff>
                    <xdr:row>0</xdr:row>
                    <xdr:rowOff>38100</xdr:rowOff>
                  </from>
                  <to>
                    <xdr:col>7</xdr:col>
                    <xdr:colOff>638175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4"/>
  <sheetViews>
    <sheetView workbookViewId="0">
      <selection activeCell="C9" sqref="C9"/>
    </sheetView>
  </sheetViews>
  <sheetFormatPr defaultRowHeight="13.5"/>
  <cols>
    <col min="1" max="16384" width="9" style="18"/>
  </cols>
  <sheetData>
    <row r="2" spans="1:1">
      <c r="A2" s="18" t="s">
        <v>376</v>
      </c>
    </row>
    <row r="4" spans="1:1">
      <c r="A4" s="18" t="s">
        <v>377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１．ディレクトリ構成</vt:lpstr>
      <vt:lpstr>２．テーブル定義</vt:lpstr>
      <vt:lpstr>データ</vt:lpstr>
      <vt:lpstr>data.csv</vt:lpstr>
      <vt:lpstr>mySQLコマンド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RD10PC066N-user</dc:creator>
  <cp:lastModifiedBy>RD10PC066N-user</cp:lastModifiedBy>
  <dcterms:created xsi:type="dcterms:W3CDTF">2016-01-14T02:02:42Z</dcterms:created>
  <dcterms:modified xsi:type="dcterms:W3CDTF">2016-07-15T05:53:38Z</dcterms:modified>
</cp:coreProperties>
</file>